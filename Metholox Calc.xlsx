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h\Documents\Metholox Rocket Engine\"/>
    </mc:Choice>
  </mc:AlternateContent>
  <xr:revisionPtr revIDLastSave="0" documentId="13_ncr:1_{718B5A7D-1040-4203-A843-C87D6D69AA95}" xr6:coauthVersionLast="47" xr6:coauthVersionMax="47" xr10:uidLastSave="{00000000-0000-0000-0000-000000000000}"/>
  <bookViews>
    <workbookView xWindow="-108" yWindow="-108" windowWidth="23256" windowHeight="12456" firstSheet="2" activeTab="9" xr2:uid="{9A1B3F82-1D0D-48A5-BD8E-8602F487B673}"/>
  </bookViews>
  <sheets>
    <sheet name="Stoichiometric Pc vs Tc" sheetId="1" r:id="rId1"/>
    <sheet name="Prop Analysis" sheetId="11" r:id="rId2"/>
    <sheet name="Pc 1 MPa" sheetId="2" r:id="rId3"/>
    <sheet name="Pc 1.1 MPa" sheetId="3" r:id="rId4"/>
    <sheet name="Pc 1.2 MPa" sheetId="4" r:id="rId5"/>
    <sheet name="Pc 1.3 MPa" sheetId="5" r:id="rId6"/>
    <sheet name="Pc 1.4 MPa" sheetId="6" r:id="rId7"/>
    <sheet name="Pc 1.5 MPa" sheetId="7" r:id="rId8"/>
    <sheet name="OF vs Isp" sheetId="8" r:id="rId9"/>
    <sheet name="OF vs Tc" sheetId="10" r:id="rId10"/>
    <sheet name="Sheet1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1" l="1"/>
  <c r="J21" i="11"/>
  <c r="J20" i="11"/>
  <c r="J12" i="11" l="1"/>
  <c r="J19" i="11"/>
  <c r="J28" i="11" l="1"/>
  <c r="J29" i="11" s="1"/>
  <c r="J30" i="11" s="1"/>
  <c r="J25" i="11"/>
  <c r="J26" i="11" s="1"/>
  <c r="J32" i="11"/>
  <c r="J33" i="11" s="1"/>
  <c r="J34" i="11" s="1"/>
  <c r="J22" i="11"/>
  <c r="J36" i="11" l="1"/>
  <c r="J37" i="11" s="1"/>
  <c r="A3" i="10"/>
  <c r="A4" i="10" s="1"/>
  <c r="A5" i="10" s="1"/>
  <c r="A6" i="10" s="1"/>
  <c r="A3" i="8"/>
  <c r="A4" i="8" s="1"/>
  <c r="A5" i="8" s="1"/>
  <c r="A6" i="8" s="1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2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H3" i="7"/>
  <c r="H4" i="7" s="1"/>
  <c r="H5" i="7" s="1"/>
  <c r="H6" i="7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2" i="7"/>
  <c r="G4" i="6"/>
  <c r="G5" i="6"/>
  <c r="G6" i="6" s="1"/>
  <c r="G3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2" i="5"/>
  <c r="H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H5" i="3"/>
  <c r="H6" i="3" s="1"/>
  <c r="H7" i="3" s="1"/>
  <c r="H8" i="3" s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4" i="3"/>
  <c r="I5" i="2"/>
  <c r="I6" i="2" s="1"/>
  <c r="I7" i="2" s="1"/>
  <c r="I8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5" i="1"/>
</calcChain>
</file>

<file path=xl/sharedStrings.xml><?xml version="1.0" encoding="utf-8"?>
<sst xmlns="http://schemas.openxmlformats.org/spreadsheetml/2006/main" count="192" uniqueCount="91">
  <si>
    <t>Isp</t>
  </si>
  <si>
    <t>Stagnation</t>
  </si>
  <si>
    <t>Throat</t>
  </si>
  <si>
    <t>Chamber</t>
  </si>
  <si>
    <t xml:space="preserve">           P</t>
  </si>
  <si>
    <t>T</t>
  </si>
  <si>
    <t xml:space="preserve">                O/F = 4</t>
  </si>
  <si>
    <t>Pc (BAR)</t>
  </si>
  <si>
    <t>Chamber Pressure(Mpa)</t>
  </si>
  <si>
    <t xml:space="preserve">Chamber Temperature  (K) </t>
  </si>
  <si>
    <t>Presssure (BAR)</t>
  </si>
  <si>
    <t>Pressure (Mpa)</t>
  </si>
  <si>
    <t>TEMP (K)</t>
  </si>
  <si>
    <t>ISP m/s</t>
  </si>
  <si>
    <t>ISP (s)</t>
  </si>
  <si>
    <t>Stagnations</t>
  </si>
  <si>
    <t xml:space="preserve">Chamber </t>
  </si>
  <si>
    <t xml:space="preserve">Exit </t>
  </si>
  <si>
    <t>O/F Ratio</t>
  </si>
  <si>
    <t>Temp  K</t>
  </si>
  <si>
    <t>Preesure BAR</t>
  </si>
  <si>
    <t xml:space="preserve">Pressure Mpa </t>
  </si>
  <si>
    <t>Isp  m/s</t>
  </si>
  <si>
    <t>Isp (s)</t>
  </si>
  <si>
    <t>Pressure  BAR</t>
  </si>
  <si>
    <t>Pressure  Mpa</t>
  </si>
  <si>
    <t>Isp  s</t>
  </si>
  <si>
    <t>O/F</t>
  </si>
  <si>
    <t>TEMP  K</t>
  </si>
  <si>
    <t>Pressure Mpa</t>
  </si>
  <si>
    <t>Pressure BAR</t>
  </si>
  <si>
    <t xml:space="preserve">TEMP  K </t>
  </si>
  <si>
    <t>Isp m/s</t>
  </si>
  <si>
    <t>Isp s</t>
  </si>
  <si>
    <t>1. Choose candidate propellant (handling, availability)</t>
  </si>
  <si>
    <t>2. Compute stoichiometric O/F (reference only)</t>
  </si>
  <si>
    <t>3. Choose feasible Pc range (feed + structure)</t>
  </si>
  <si>
    <t>4. At fixed Pc:</t>
  </si>
  <si>
    <t xml:space="preserve">   → Sweep O/F</t>
  </si>
  <si>
    <t xml:space="preserve">   → Plot Tc vs O/F</t>
  </si>
  <si>
    <t xml:space="preserve">   → Plot Isp vs O/F</t>
  </si>
  <si>
    <t>5. Choose fuel-rich O/F:</t>
  </si>
  <si>
    <t xml:space="preserve">   → Acceptable Tc</t>
  </si>
  <si>
    <t xml:space="preserve">   → Near-max Isp</t>
  </si>
  <si>
    <t>6. Fix ambient pressure (sea level or vacuum)</t>
  </si>
  <si>
    <t>7. For chosen O/F:</t>
  </si>
  <si>
    <t xml:space="preserve">   → Sweep Pc</t>
  </si>
  <si>
    <t xml:space="preserve">   → Compute correctly expanded exit Isp</t>
  </si>
  <si>
    <t>8. Plot Isp vs Pc</t>
  </si>
  <si>
    <t>Isp s   PC 1.5</t>
  </si>
  <si>
    <t>Isp s  Pc 1.4</t>
  </si>
  <si>
    <t>Isp s  Pc 1.3</t>
  </si>
  <si>
    <t>Isp s  Pc 1.2</t>
  </si>
  <si>
    <t>ISP s  Pc 1.1</t>
  </si>
  <si>
    <t>Isp s  Pc 1</t>
  </si>
  <si>
    <t>TEMP K  PC 1</t>
  </si>
  <si>
    <t>Temp K  Pc 1.1</t>
  </si>
  <si>
    <t>TEMP K  Pc 1.2</t>
  </si>
  <si>
    <t>Temp K  Pc 1.3</t>
  </si>
  <si>
    <t>Temp K  Pc 1.4</t>
  </si>
  <si>
    <t>Temp  K  Pc 1.5</t>
  </si>
  <si>
    <t xml:space="preserve">Thrust </t>
  </si>
  <si>
    <t>N</t>
  </si>
  <si>
    <t>We choose this parameters</t>
  </si>
  <si>
    <t>chamber presure</t>
  </si>
  <si>
    <t>Pa</t>
  </si>
  <si>
    <t>O/F mass ratio</t>
  </si>
  <si>
    <t>Effective Exhaust Velocity (C)</t>
  </si>
  <si>
    <t>m/s</t>
  </si>
  <si>
    <t>We get from NASA CEA</t>
  </si>
  <si>
    <t>Characteristic Exhaust Velocity (C*)</t>
  </si>
  <si>
    <t>Expansion Ratio(Ae/At)</t>
  </si>
  <si>
    <t>Specific Impulse (Isp)</t>
  </si>
  <si>
    <t>s</t>
  </si>
  <si>
    <t xml:space="preserve">Total mass flow rate </t>
  </si>
  <si>
    <t>kg/s</t>
  </si>
  <si>
    <t>LH2 mass flow rate</t>
  </si>
  <si>
    <t>LO2 mass flow rate</t>
  </si>
  <si>
    <t>Throat area</t>
  </si>
  <si>
    <t>m^2</t>
  </si>
  <si>
    <t>Throat Dia</t>
  </si>
  <si>
    <t>m</t>
  </si>
  <si>
    <t>mm</t>
  </si>
  <si>
    <t>Exit Area</t>
  </si>
  <si>
    <t>Exit Dia</t>
  </si>
  <si>
    <t xml:space="preserve"># We choose the value </t>
  </si>
  <si>
    <t>Ac/At</t>
  </si>
  <si>
    <t>Chamber Area</t>
  </si>
  <si>
    <t>Chamber Diameter</t>
  </si>
  <si>
    <t>L*</t>
  </si>
  <si>
    <t>Chamber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</si>
</sst>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</cellStyleXfs>
  <cellXfs count="29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2" borderId="0" xfId="1"/>
    <xf numFmtId="0" fontId="3" fillId="2" borderId="0" xfId="1" applyFont="1"/>
    <xf numFmtId="164" fontId="0" fillId="0" borderId="0" xfId="0" applyNumberFormat="1"/>
    <xf numFmtId="164" fontId="2" fillId="0" borderId="0" xfId="0" applyNumberFormat="1" applyFont="1"/>
    <xf numFmtId="11" fontId="2" fillId="0" borderId="0" xfId="0" applyNumberFormat="1" applyFont="1"/>
    <xf numFmtId="11" fontId="2" fillId="3" borderId="0" xfId="2" applyNumberFormat="1" applyFont="1"/>
    <xf numFmtId="0" fontId="2" fillId="4" borderId="1" xfId="3" applyFont="1" applyBorder="1" applyAlignment="1">
      <alignment horizontal="right"/>
    </xf>
    <xf numFmtId="0" fontId="2" fillId="4" borderId="0" xfId="3" applyFont="1"/>
    <xf numFmtId="0" fontId="2" fillId="4" borderId="1" xfId="3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5" borderId="0" xfId="4" applyFont="1" applyAlignment="1">
      <alignment horizontal="right"/>
    </xf>
    <xf numFmtId="0" fontId="2" fillId="5" borderId="1" xfId="4" applyFont="1" applyBorder="1"/>
    <xf numFmtId="0" fontId="2" fillId="5" borderId="0" xfId="4" applyFont="1"/>
    <xf numFmtId="0" fontId="6" fillId="5" borderId="1" xfId="4" applyFont="1" applyBorder="1"/>
    <xf numFmtId="0" fontId="2" fillId="6" borderId="1" xfId="5" applyFont="1" applyBorder="1" applyAlignment="1">
      <alignment horizontal="right"/>
    </xf>
    <xf numFmtId="0" fontId="2" fillId="6" borderId="0" xfId="5" applyFont="1"/>
    <xf numFmtId="0" fontId="2" fillId="6" borderId="1" xfId="5" applyFont="1" applyBorder="1"/>
    <xf numFmtId="0" fontId="2" fillId="6" borderId="2" xfId="5" applyFont="1" applyBorder="1"/>
    <xf numFmtId="0" fontId="2" fillId="6" borderId="0" xfId="5" applyFont="1" applyBorder="1" applyAlignment="1">
      <alignment horizontal="right"/>
    </xf>
    <xf numFmtId="0" fontId="2" fillId="6" borderId="0" xfId="5" applyFont="1" applyBorder="1"/>
    <xf numFmtId="0" fontId="2" fillId="6" borderId="3" xfId="5" applyFont="1" applyBorder="1"/>
    <xf numFmtId="0" fontId="4" fillId="4" borderId="0" xfId="3"/>
    <xf numFmtId="0" fontId="5" fillId="5" borderId="0" xfId="4"/>
    <xf numFmtId="0" fontId="5" fillId="5" borderId="1" xfId="4" applyBorder="1" applyAlignment="1">
      <alignment horizontal="right"/>
    </xf>
    <xf numFmtId="0" fontId="1" fillId="6" borderId="0" xfId="5"/>
  </cellXfs>
  <cellStyles count="6">
    <cellStyle name="60% - Accent2" xfId="1" builtinId="36"/>
    <cellStyle name="60% - Accent3" xfId="5" builtinId="40"/>
    <cellStyle name="60% - Accent5" xfId="2" builtinId="48"/>
    <cellStyle name="Bad" xfId="4" builtinId="27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 vs Tc  @ O/F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14531516992596"/>
          <c:y val="0.21095820418490741"/>
          <c:w val="0.7867591863517060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Pc vs Tc</c:v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'Stoichiometric Pc vs Tc'!$H$5:$H$53</c:f>
              <c:strCache>
                <c:ptCount val="49"/>
                <c:pt idx="0">
                  <c:v>0.5</c:v>
                </c:pt>
                <c:pt idx="1">
                  <c:v>0.7</c:v>
                </c:pt>
                <c:pt idx="2">
                  <c:v>0.8</c:v>
                </c:pt>
                <c:pt idx="3">
                  <c:v>1.0</c:v>
                </c:pt>
                <c:pt idx="4">
                  <c:v>1.1</c:v>
                </c:pt>
                <c:pt idx="5">
                  <c:v>1.3</c:v>
                </c:pt>
                <c:pt idx="6">
                  <c:v>1.4</c:v>
                </c:pt>
                <c:pt idx="7">
                  <c:v>1.6</c:v>
                </c:pt>
                <c:pt idx="8">
                  <c:v>1.7</c:v>
                </c:pt>
                <c:pt idx="9">
                  <c:v>1.9</c:v>
                </c:pt>
                <c:pt idx="10">
                  <c:v>2.0</c:v>
                </c:pt>
                <c:pt idx="11">
                  <c:v>2.2</c:v>
                </c:pt>
                <c:pt idx="12">
                  <c:v>2.3</c:v>
                </c:pt>
                <c:pt idx="13">
                  <c:v>2.5</c:v>
                </c:pt>
                <c:pt idx="14">
                  <c:v>2.6</c:v>
                </c:pt>
                <c:pt idx="15">
                  <c:v>2.8</c:v>
                </c:pt>
                <c:pt idx="16">
                  <c:v>2.9</c:v>
                </c:pt>
                <c:pt idx="17">
                  <c:v>3.1</c:v>
                </c:pt>
                <c:pt idx="18">
                  <c:v>3.2</c:v>
                </c:pt>
                <c:pt idx="19">
                  <c:v>3.4</c:v>
                </c:pt>
                <c:pt idx="20">
                  <c:v>3.5</c:v>
                </c:pt>
                <c:pt idx="21">
                  <c:v>3.7</c:v>
                </c:pt>
                <c:pt idx="22">
                  <c:v>3.8</c:v>
                </c:pt>
                <c:pt idx="23">
                  <c:v>4.0</c:v>
                </c:pt>
                <c:pt idx="24">
                  <c:v>4.1</c:v>
                </c:pt>
                <c:pt idx="34">
                  <c:v>1. Choose candidate propellant (handling, availability)</c:v>
                </c:pt>
                <c:pt idx="35">
                  <c:v>2. Compute stoichiometric O/F (reference only)</c:v>
                </c:pt>
                <c:pt idx="36">
                  <c:v>3. Choose feasible Pc range (feed + structure)</c:v>
                </c:pt>
                <c:pt idx="37">
                  <c:v>4. At fixed Pc:</c:v>
                </c:pt>
                <c:pt idx="38">
                  <c:v>   → Sweep O/F</c:v>
                </c:pt>
                <c:pt idx="39">
                  <c:v>   → Plot Tc vs O/F</c:v>
                </c:pt>
                <c:pt idx="40">
                  <c:v>   → Plot Isp vs O/F</c:v>
                </c:pt>
                <c:pt idx="41">
                  <c:v>5. Choose fuel-rich O/F:</c:v>
                </c:pt>
                <c:pt idx="42">
                  <c:v>   → Acceptable Tc</c:v>
                </c:pt>
                <c:pt idx="43">
                  <c:v>   → Near-max Isp</c:v>
                </c:pt>
                <c:pt idx="44">
                  <c:v>6. Fix ambient pressure (sea level or vacuum)</c:v>
                </c:pt>
                <c:pt idx="45">
                  <c:v>7. For chosen O/F:</c:v>
                </c:pt>
                <c:pt idx="46">
                  <c:v>   → Sweep Pc</c:v>
                </c:pt>
                <c:pt idx="47">
                  <c:v>   → Compute correctly expanded exit Isp</c:v>
                </c:pt>
                <c:pt idx="48">
                  <c:v>8. Plot Isp vs Pc</c:v>
                </c:pt>
              </c:strCache>
            </c:strRef>
          </c:xVal>
          <c:yVal>
            <c:numRef>
              <c:f>'Stoichiometric Pc vs Tc'!$I$5:$I$53</c:f>
              <c:numCache>
                <c:formatCode>0.0</c:formatCode>
                <c:ptCount val="49"/>
                <c:pt idx="0">
                  <c:v>3310.9</c:v>
                </c:pt>
                <c:pt idx="1">
                  <c:v>3348.2</c:v>
                </c:pt>
                <c:pt idx="2">
                  <c:v>3378.1</c:v>
                </c:pt>
                <c:pt idx="3">
                  <c:v>3403</c:v>
                </c:pt>
                <c:pt idx="4">
                  <c:v>3424.3</c:v>
                </c:pt>
                <c:pt idx="5">
                  <c:v>3443.1</c:v>
                </c:pt>
                <c:pt idx="6">
                  <c:v>3459.8</c:v>
                </c:pt>
                <c:pt idx="7">
                  <c:v>3474.9</c:v>
                </c:pt>
                <c:pt idx="8">
                  <c:v>3488.6</c:v>
                </c:pt>
                <c:pt idx="9">
                  <c:v>3501.2</c:v>
                </c:pt>
                <c:pt idx="10">
                  <c:v>3512.9</c:v>
                </c:pt>
                <c:pt idx="11">
                  <c:v>3523.7</c:v>
                </c:pt>
                <c:pt idx="12">
                  <c:v>3533.9</c:v>
                </c:pt>
                <c:pt idx="13">
                  <c:v>3543.4</c:v>
                </c:pt>
                <c:pt idx="14">
                  <c:v>3552.4</c:v>
                </c:pt>
                <c:pt idx="15">
                  <c:v>3560.9</c:v>
                </c:pt>
                <c:pt idx="16">
                  <c:v>3568.9</c:v>
                </c:pt>
                <c:pt idx="17">
                  <c:v>3576.6</c:v>
                </c:pt>
                <c:pt idx="18">
                  <c:v>3583.9</c:v>
                </c:pt>
                <c:pt idx="19">
                  <c:v>3590.9</c:v>
                </c:pt>
                <c:pt idx="20">
                  <c:v>3597.6</c:v>
                </c:pt>
                <c:pt idx="21">
                  <c:v>3604</c:v>
                </c:pt>
                <c:pt idx="22">
                  <c:v>3610.1</c:v>
                </c:pt>
                <c:pt idx="23">
                  <c:v>3616.1</c:v>
                </c:pt>
                <c:pt idx="24">
                  <c:v>3621.8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89-4F7D-9E5B-410A7113A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888624"/>
        <c:axId val="1038891504"/>
      </c:scatterChart>
      <c:valAx>
        <c:axId val="103888862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   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91504"/>
        <c:crosses val="autoZero"/>
        <c:crossBetween val="midCat"/>
      </c:valAx>
      <c:valAx>
        <c:axId val="1038891504"/>
        <c:scaling>
          <c:orientation val="minMax"/>
          <c:max val="3700"/>
          <c:min val="33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    K</a:t>
                </a:r>
              </a:p>
            </c:rich>
          </c:tx>
          <c:layout>
            <c:manualLayout>
              <c:xMode val="edge"/>
              <c:yMode val="edge"/>
              <c:x val="2.0039193001924237E-3"/>
              <c:y val="0.49384310918354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88624"/>
        <c:crosses val="autoZero"/>
        <c:crossBetween val="midCat"/>
        <c:majorUnit val="5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 MPa'!$I$4:$I$8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 MPa'!$J$4:$J$8</c:f>
              <c:numCache>
                <c:formatCode>0.0</c:formatCode>
                <c:ptCount val="5"/>
                <c:pt idx="0">
                  <c:v>3416.7</c:v>
                </c:pt>
                <c:pt idx="1">
                  <c:v>3422.7</c:v>
                </c:pt>
                <c:pt idx="2">
                  <c:v>3422.5</c:v>
                </c:pt>
                <c:pt idx="3">
                  <c:v>3418</c:v>
                </c:pt>
                <c:pt idx="4">
                  <c:v>3410.4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0-433C-8978-EA8B2C3C0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187663"/>
        <c:axId val="1472188143"/>
      </c:scatterChart>
      <c:valAx>
        <c:axId val="1472187663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188143"/>
        <c:crosses val="autoZero"/>
        <c:crossBetween val="midCat"/>
      </c:valAx>
      <c:valAx>
        <c:axId val="14721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18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7437751531058616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Isp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 MPa'!$I$4:$I$8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 MPa'!$K$4:$K$8</c:f>
              <c:numCache>
                <c:formatCode>General</c:formatCode>
                <c:ptCount val="5"/>
                <c:pt idx="0">
                  <c:v>243.8716</c:v>
                </c:pt>
                <c:pt idx="1">
                  <c:v>243.12950000000001</c:v>
                </c:pt>
                <c:pt idx="2">
                  <c:v>240.39760000000001</c:v>
                </c:pt>
                <c:pt idx="3">
                  <c:v>237.74719999999999</c:v>
                </c:pt>
                <c:pt idx="4">
                  <c:v>235.17840000000001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AC-4AC6-BD36-711294C1F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94511"/>
        <c:axId val="278406511"/>
      </c:scatterChart>
      <c:valAx>
        <c:axId val="27839451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06511"/>
        <c:crosses val="autoZero"/>
        <c:crossBetween val="midCat"/>
      </c:valAx>
      <c:valAx>
        <c:axId val="2784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9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5680446194225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75371828521434E-2"/>
          <c:y val="0.13930555555555557"/>
          <c:w val="0.84273862642169728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'Pc 1.1 MPa'!$H$4:$H$8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1.1 MPa'!$I$4:$I$8</c:f>
              <c:numCache>
                <c:formatCode>0.0</c:formatCode>
                <c:ptCount val="5"/>
                <c:pt idx="0">
                  <c:v>3430.5</c:v>
                </c:pt>
                <c:pt idx="1">
                  <c:v>3436.7</c:v>
                </c:pt>
                <c:pt idx="2">
                  <c:v>3436.5</c:v>
                </c:pt>
                <c:pt idx="3">
                  <c:v>3432</c:v>
                </c:pt>
                <c:pt idx="4">
                  <c:v>3424.3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6E-4551-BD05-ADAC29FD3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709903"/>
        <c:axId val="1464713263"/>
      </c:scatterChart>
      <c:valAx>
        <c:axId val="1464709903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13263"/>
        <c:crosses val="autoZero"/>
        <c:crossBetween val="midCat"/>
      </c:valAx>
      <c:valAx>
        <c:axId val="146471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0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1.2 MPa'!$H$2:$H$6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</c:v>
                </c:pt>
                <c:pt idx="3">
                  <c:v>3.8</c:v>
                </c:pt>
                <c:pt idx="4">
                  <c:v>4</c:v>
                </c:pt>
              </c:numCache>
            </c:numRef>
          </c:xVal>
          <c:yVal>
            <c:numRef>
              <c:f>'Pc 1.2 MPa'!$I$2:$I$6</c:f>
              <c:numCache>
                <c:formatCode>0.0</c:formatCode>
                <c:ptCount val="5"/>
                <c:pt idx="0">
                  <c:v>3443.2</c:v>
                </c:pt>
                <c:pt idx="1">
                  <c:v>3449.5</c:v>
                </c:pt>
                <c:pt idx="2">
                  <c:v>3449.4</c:v>
                </c:pt>
                <c:pt idx="3">
                  <c:v>3444.9</c:v>
                </c:pt>
                <c:pt idx="4">
                  <c:v>3437.1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41-4620-81B1-6DD24228C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86831"/>
        <c:axId val="278387311"/>
      </c:scatterChart>
      <c:valAx>
        <c:axId val="27838683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7311"/>
        <c:crosses val="autoZero"/>
        <c:crossBetween val="midCat"/>
      </c:valAx>
      <c:valAx>
        <c:axId val="2783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1.3 MPa'!$I$2:$I$6</c:f>
              <c:numCache>
                <c:formatCode>General</c:formatCode>
                <c:ptCount val="5"/>
                <c:pt idx="0">
                  <c:v>3.2</c:v>
                </c:pt>
                <c:pt idx="1">
                  <c:v>3.4</c:v>
                </c:pt>
                <c:pt idx="2">
                  <c:v>3.6</c:v>
                </c:pt>
                <c:pt idx="3">
                  <c:v>3.8</c:v>
                </c:pt>
                <c:pt idx="4">
                  <c:v>4</c:v>
                </c:pt>
              </c:numCache>
            </c:numRef>
          </c:xVal>
          <c:yVal>
            <c:numRef>
              <c:f>'Pc 1.3 MPa'!$J$2:$J$6</c:f>
              <c:numCache>
                <c:formatCode>0.0</c:formatCode>
                <c:ptCount val="5"/>
                <c:pt idx="0">
                  <c:v>3454.9</c:v>
                </c:pt>
                <c:pt idx="1">
                  <c:v>3461.3</c:v>
                </c:pt>
                <c:pt idx="2">
                  <c:v>3461.3</c:v>
                </c:pt>
                <c:pt idx="3">
                  <c:v>3456.7</c:v>
                </c:pt>
                <c:pt idx="4">
                  <c:v>3448.9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30-445E-A7EF-2B6428F6E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407951"/>
        <c:axId val="278406991"/>
      </c:scatterChart>
      <c:valAx>
        <c:axId val="27840795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06991"/>
        <c:crosses val="autoZero"/>
        <c:crossBetween val="midCat"/>
      </c:valAx>
      <c:valAx>
        <c:axId val="27840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0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1.4 MPa'!$G$2:$G$6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1.4 MPa'!$H$2:$H$6</c:f>
              <c:numCache>
                <c:formatCode>0.0</c:formatCode>
                <c:ptCount val="5"/>
                <c:pt idx="0">
                  <c:v>3465.7</c:v>
                </c:pt>
                <c:pt idx="1">
                  <c:v>3472.3</c:v>
                </c:pt>
                <c:pt idx="2">
                  <c:v>3472.3</c:v>
                </c:pt>
                <c:pt idx="3">
                  <c:v>3467.7</c:v>
                </c:pt>
                <c:pt idx="4">
                  <c:v>3459.8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2E-4999-B0F4-B74F63C9E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71951"/>
        <c:axId val="278388751"/>
      </c:scatterChart>
      <c:valAx>
        <c:axId val="27837195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8751"/>
        <c:crosses val="autoZero"/>
        <c:crossBetween val="midCat"/>
      </c:valAx>
      <c:valAx>
        <c:axId val="27838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7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1.5 MPa'!$H$2:$H$6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1.5 MPa'!$I$2:$I$6</c:f>
              <c:numCache>
                <c:formatCode>0.0</c:formatCode>
                <c:ptCount val="5"/>
                <c:pt idx="0">
                  <c:v>3475.8</c:v>
                </c:pt>
                <c:pt idx="1">
                  <c:v>3482.6</c:v>
                </c:pt>
                <c:pt idx="2">
                  <c:v>3482.6</c:v>
                </c:pt>
                <c:pt idx="3">
                  <c:v>3478</c:v>
                </c:pt>
                <c:pt idx="4">
                  <c:v>3470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27-481C-B433-D0EAD3CF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82511"/>
        <c:axId val="278391151"/>
      </c:scatterChart>
      <c:valAx>
        <c:axId val="27838251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91151"/>
        <c:crosses val="autoZero"/>
        <c:crossBetween val="midCat"/>
      </c:valAx>
      <c:valAx>
        <c:axId val="2783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Isp</a:t>
            </a:r>
            <a:r>
              <a:rPr lang="en-US" baseline="0"/>
              <a:t> vs O/F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'OF vs Isp'!$B$1</c:f>
              <c:strCache>
                <c:ptCount val="1"/>
                <c:pt idx="0">
                  <c:v>Isp s  Pc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Isp'!$B$2:$B$6</c:f>
              <c:numCache>
                <c:formatCode>0.0</c:formatCode>
                <c:ptCount val="5"/>
                <c:pt idx="0">
                  <c:v>243.8716</c:v>
                </c:pt>
                <c:pt idx="1">
                  <c:v>243.12950000000001</c:v>
                </c:pt>
                <c:pt idx="2">
                  <c:v>240.39760000000001</c:v>
                </c:pt>
                <c:pt idx="3">
                  <c:v>237.74719999999999</c:v>
                </c:pt>
                <c:pt idx="4">
                  <c:v>235.17840000000001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1-4F64-8DA0-2C2B280DE2CC}"/>
            </c:ext>
          </c:extLst>
        </c:ser>
        <c:ser>
          <c:idx val="1"/>
          <c:order val="1"/>
          <c:tx>
            <c:strRef>
              <c:f>'OF vs Isp'!$C$1</c:f>
              <c:strCache>
                <c:ptCount val="1"/>
                <c:pt idx="0">
                  <c:v>ISP s  Pc 1.1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Isp'!$C$2:$C$6</c:f>
              <c:numCache>
                <c:formatCode>0.0</c:formatCode>
                <c:ptCount val="5"/>
                <c:pt idx="0">
                  <c:v>250.63200000000001</c:v>
                </c:pt>
                <c:pt idx="1">
                  <c:v>247.84909999999999</c:v>
                </c:pt>
                <c:pt idx="2">
                  <c:v>245.07650000000001</c:v>
                </c:pt>
                <c:pt idx="3">
                  <c:v>242.3751</c:v>
                </c:pt>
                <c:pt idx="4">
                  <c:v>239.75540000000001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1-4F64-8DA0-2C2B280DE2CC}"/>
            </c:ext>
          </c:extLst>
        </c:ser>
        <c:ser>
          <c:idx val="2"/>
          <c:order val="2"/>
          <c:tx>
            <c:strRef>
              <c:f>'OF vs Isp'!$D$1</c:f>
              <c:strCache>
                <c:ptCount val="1"/>
                <c:pt idx="0">
                  <c:v>Isp s  Pc 1.2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Isp'!$D$2:$D$6</c:f>
              <c:numCache>
                <c:formatCode>0.0</c:formatCode>
                <c:ptCount val="5"/>
                <c:pt idx="0">
                  <c:v>254.87260000000001</c:v>
                </c:pt>
                <c:pt idx="1">
                  <c:v>252.0591</c:v>
                </c:pt>
                <c:pt idx="2">
                  <c:v>249.2457</c:v>
                </c:pt>
                <c:pt idx="3">
                  <c:v>246.50360000000001</c:v>
                </c:pt>
                <c:pt idx="4">
                  <c:v>243.84299999999999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1-4F64-8DA0-2C2B280DE2CC}"/>
            </c:ext>
          </c:extLst>
        </c:ser>
        <c:ser>
          <c:idx val="3"/>
          <c:order val="3"/>
          <c:tx>
            <c:strRef>
              <c:f>'OF vs Isp'!$E$1</c:f>
              <c:strCache>
                <c:ptCount val="1"/>
                <c:pt idx="0">
                  <c:v>Isp s  Pc 1.3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Isp'!$E$2:$E$6</c:f>
              <c:numCache>
                <c:formatCode>0.0</c:formatCode>
                <c:ptCount val="5"/>
                <c:pt idx="0">
                  <c:v>258.685</c:v>
                </c:pt>
                <c:pt idx="1">
                  <c:v>255.85120000000001</c:v>
                </c:pt>
                <c:pt idx="2">
                  <c:v>253.00710000000001</c:v>
                </c:pt>
                <c:pt idx="3">
                  <c:v>250.2243</c:v>
                </c:pt>
                <c:pt idx="4">
                  <c:v>247.53309999999999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81-4F64-8DA0-2C2B280DE2CC}"/>
            </c:ext>
          </c:extLst>
        </c:ser>
        <c:ser>
          <c:idx val="4"/>
          <c:order val="4"/>
          <c:tx>
            <c:strRef>
              <c:f>'OF vs Isp'!$F$1</c:f>
              <c:strCache>
                <c:ptCount val="1"/>
                <c:pt idx="0">
                  <c:v>Isp s  Pc 1.4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Isp'!$F$2:$F$6</c:f>
              <c:numCache>
                <c:formatCode>0.0</c:formatCode>
                <c:ptCount val="5"/>
                <c:pt idx="0">
                  <c:v>262.16109999999998</c:v>
                </c:pt>
                <c:pt idx="1">
                  <c:v>259.30680000000001</c:v>
                </c:pt>
                <c:pt idx="2">
                  <c:v>256.43220000000002</c:v>
                </c:pt>
                <c:pt idx="3">
                  <c:v>253.6086</c:v>
                </c:pt>
                <c:pt idx="4">
                  <c:v>250.8869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81-4F64-8DA0-2C2B280DE2CC}"/>
            </c:ext>
          </c:extLst>
        </c:ser>
        <c:ser>
          <c:idx val="5"/>
          <c:order val="5"/>
          <c:tx>
            <c:strRef>
              <c:f>'OF vs Isp'!$G$1</c:f>
              <c:strCache>
                <c:ptCount val="1"/>
                <c:pt idx="0">
                  <c:v>Isp s   PC 1.5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Isp'!$G$2:$G$6</c:f>
              <c:numCache>
                <c:formatCode>0.0</c:formatCode>
                <c:ptCount val="5"/>
                <c:pt idx="0">
                  <c:v>265.3</c:v>
                </c:pt>
                <c:pt idx="1">
                  <c:v>262.5</c:v>
                </c:pt>
                <c:pt idx="2">
                  <c:v>259.60000000000002</c:v>
                </c:pt>
                <c:pt idx="3">
                  <c:v>256.7</c:v>
                </c:pt>
                <c:pt idx="4">
                  <c:v>253.9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81-4F64-8DA0-2C2B280DE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56735"/>
        <c:axId val="286373535"/>
      </c:lineChart>
      <c:catAx>
        <c:axId val="28635673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73535"/>
        <c:crosses val="autoZero"/>
        <c:auto val="1"/>
        <c:lblAlgn val="ctr"/>
        <c:lblOffset val="100"/>
        <c:noMultiLvlLbl val="0"/>
      </c:catAx>
      <c:valAx>
        <c:axId val="2863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5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</a:t>
            </a:r>
            <a:r>
              <a:rPr lang="en-US" baseline="0"/>
              <a:t> vs O/F</a:t>
            </a:r>
            <a:endParaRPr lang="en-US"/>
          </a:p>
        </c:rich>
      </c:tx>
      <c:layout>
        <c:manualLayout>
          <c:xMode val="edge"/>
          <c:yMode val="edge"/>
          <c:x val="0.3317152230971129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'OF vs Tc'!$B$1</c:f>
              <c:strCache>
                <c:ptCount val="1"/>
                <c:pt idx="0">
                  <c:v>TEMP K  PC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Tc'!$B$2:$B$6</c:f>
              <c:numCache>
                <c:formatCode>0.0</c:formatCode>
                <c:ptCount val="5"/>
                <c:pt idx="0">
                  <c:v>3416.7</c:v>
                </c:pt>
                <c:pt idx="1">
                  <c:v>3422.7</c:v>
                </c:pt>
                <c:pt idx="2">
                  <c:v>3422.5</c:v>
                </c:pt>
                <c:pt idx="3">
                  <c:v>3418</c:v>
                </c:pt>
                <c:pt idx="4">
                  <c:v>3410.4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B-4669-B9D1-72AD70BD9C38}"/>
            </c:ext>
          </c:extLst>
        </c:ser>
        <c:ser>
          <c:idx val="1"/>
          <c:order val="1"/>
          <c:tx>
            <c:strRef>
              <c:f>'OF vs Tc'!$C$1</c:f>
              <c:strCache>
                <c:ptCount val="1"/>
                <c:pt idx="0">
                  <c:v>Temp K  Pc 1.1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Tc'!$C$2:$C$6</c:f>
              <c:numCache>
                <c:formatCode>0.0</c:formatCode>
                <c:ptCount val="5"/>
                <c:pt idx="0">
                  <c:v>3430.5</c:v>
                </c:pt>
                <c:pt idx="1">
                  <c:v>3436.7</c:v>
                </c:pt>
                <c:pt idx="2">
                  <c:v>3436.5</c:v>
                </c:pt>
                <c:pt idx="3">
                  <c:v>3432</c:v>
                </c:pt>
                <c:pt idx="4">
                  <c:v>3424.3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B-4669-B9D1-72AD70BD9C38}"/>
            </c:ext>
          </c:extLst>
        </c:ser>
        <c:ser>
          <c:idx val="2"/>
          <c:order val="2"/>
          <c:tx>
            <c:strRef>
              <c:f>'OF vs Tc'!$D$1</c:f>
              <c:strCache>
                <c:ptCount val="1"/>
                <c:pt idx="0">
                  <c:v>TEMP K  Pc 1.2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Tc'!$D$2:$D$6</c:f>
              <c:numCache>
                <c:formatCode>0.0</c:formatCode>
                <c:ptCount val="5"/>
                <c:pt idx="0">
                  <c:v>3443.2</c:v>
                </c:pt>
                <c:pt idx="1">
                  <c:v>3449.5</c:v>
                </c:pt>
                <c:pt idx="2">
                  <c:v>3449.4</c:v>
                </c:pt>
                <c:pt idx="3">
                  <c:v>3444.9</c:v>
                </c:pt>
                <c:pt idx="4">
                  <c:v>3437.1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7B-4669-B9D1-72AD70BD9C38}"/>
            </c:ext>
          </c:extLst>
        </c:ser>
        <c:ser>
          <c:idx val="3"/>
          <c:order val="3"/>
          <c:tx>
            <c:strRef>
              <c:f>'OF vs Tc'!$E$1</c:f>
              <c:strCache>
                <c:ptCount val="1"/>
                <c:pt idx="0">
                  <c:v>Temp K  Pc 1.3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Tc'!$E$2:$E$6</c:f>
              <c:numCache>
                <c:formatCode>0.0</c:formatCode>
                <c:ptCount val="5"/>
                <c:pt idx="0">
                  <c:v>3454.9</c:v>
                </c:pt>
                <c:pt idx="1">
                  <c:v>3461.3</c:v>
                </c:pt>
                <c:pt idx="2">
                  <c:v>3461.3</c:v>
                </c:pt>
                <c:pt idx="3">
                  <c:v>3456.7</c:v>
                </c:pt>
                <c:pt idx="4">
                  <c:v>3448.9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7B-4669-B9D1-72AD70BD9C38}"/>
            </c:ext>
          </c:extLst>
        </c:ser>
        <c:ser>
          <c:idx val="4"/>
          <c:order val="4"/>
          <c:tx>
            <c:strRef>
              <c:f>'OF vs Tc'!$F$1</c:f>
              <c:strCache>
                <c:ptCount val="1"/>
                <c:pt idx="0">
                  <c:v>Temp K  Pc 1.4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Tc'!$F$2:$F$6</c:f>
              <c:numCache>
                <c:formatCode>0.0</c:formatCode>
                <c:ptCount val="5"/>
                <c:pt idx="0">
                  <c:v>3465.7</c:v>
                </c:pt>
                <c:pt idx="1">
                  <c:v>3472.3</c:v>
                </c:pt>
                <c:pt idx="2">
                  <c:v>3472.3</c:v>
                </c:pt>
                <c:pt idx="3">
                  <c:v>3467.7</c:v>
                </c:pt>
                <c:pt idx="4">
                  <c:v>3459.8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7B-4669-B9D1-72AD70BD9C38}"/>
            </c:ext>
          </c:extLst>
        </c:ser>
        <c:ser>
          <c:idx val="5"/>
          <c:order val="5"/>
          <c:tx>
            <c:strRef>
              <c:f>'OF vs Tc'!$G$1</c:f>
              <c:strCache>
                <c:ptCount val="1"/>
                <c:pt idx="0">
                  <c:v>Temp  K  Pc 1.5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Tc'!$G$2:$G$6</c:f>
              <c:numCache>
                <c:formatCode>0.0</c:formatCode>
                <c:ptCount val="5"/>
                <c:pt idx="0">
                  <c:v>3475.8</c:v>
                </c:pt>
                <c:pt idx="1">
                  <c:v>3482.6</c:v>
                </c:pt>
                <c:pt idx="2">
                  <c:v>3482.6</c:v>
                </c:pt>
                <c:pt idx="3">
                  <c:v>3478</c:v>
                </c:pt>
                <c:pt idx="4">
                  <c:v>3470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7B-4669-B9D1-72AD70BD9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34175"/>
        <c:axId val="286341855"/>
      </c:lineChart>
      <c:catAx>
        <c:axId val="2863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41855"/>
        <c:crosses val="autoZero"/>
        <c:auto val="1"/>
        <c:lblAlgn val="ctr"/>
        <c:lblOffset val="100"/>
        <c:noMultiLvlLbl val="0"/>
      </c:catAx>
      <c:valAx>
        <c:axId val="2863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Isp</a:t>
            </a:r>
            <a:r>
              <a:rPr lang="en-US" baseline="0"/>
              <a:t> vs O/F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'OF vs Isp'!$B$1</c:f>
              <c:strCache>
                <c:ptCount val="1"/>
                <c:pt idx="0">
                  <c:v>Isp s  Pc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Isp'!$B$2:$B$6</c:f>
              <c:numCache>
                <c:formatCode>0.0</c:formatCode>
                <c:ptCount val="5"/>
                <c:pt idx="0">
                  <c:v>243.8716</c:v>
                </c:pt>
                <c:pt idx="1">
                  <c:v>243.12950000000001</c:v>
                </c:pt>
                <c:pt idx="2">
                  <c:v>240.39760000000001</c:v>
                </c:pt>
                <c:pt idx="3">
                  <c:v>237.74719999999999</c:v>
                </c:pt>
                <c:pt idx="4">
                  <c:v>235.17840000000001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B-4A0D-A7E0-F7538592F1A9}"/>
            </c:ext>
          </c:extLst>
        </c:ser>
        <c:ser>
          <c:idx val="1"/>
          <c:order val="1"/>
          <c:tx>
            <c:strRef>
              <c:f>'OF vs Isp'!$C$1</c:f>
              <c:strCache>
                <c:ptCount val="1"/>
                <c:pt idx="0">
                  <c:v>ISP s  Pc 1.1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Isp'!$C$2:$C$6</c:f>
              <c:numCache>
                <c:formatCode>0.0</c:formatCode>
                <c:ptCount val="5"/>
                <c:pt idx="0">
                  <c:v>250.63200000000001</c:v>
                </c:pt>
                <c:pt idx="1">
                  <c:v>247.84909999999999</c:v>
                </c:pt>
                <c:pt idx="2">
                  <c:v>245.07650000000001</c:v>
                </c:pt>
                <c:pt idx="3">
                  <c:v>242.3751</c:v>
                </c:pt>
                <c:pt idx="4">
                  <c:v>239.75540000000001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B-4A0D-A7E0-F7538592F1A9}"/>
            </c:ext>
          </c:extLst>
        </c:ser>
        <c:ser>
          <c:idx val="2"/>
          <c:order val="2"/>
          <c:tx>
            <c:strRef>
              <c:f>'OF vs Isp'!$D$1</c:f>
              <c:strCache>
                <c:ptCount val="1"/>
                <c:pt idx="0">
                  <c:v>Isp s  Pc 1.2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Isp'!$D$2:$D$6</c:f>
              <c:numCache>
                <c:formatCode>0.0</c:formatCode>
                <c:ptCount val="5"/>
                <c:pt idx="0">
                  <c:v>254.87260000000001</c:v>
                </c:pt>
                <c:pt idx="1">
                  <c:v>252.0591</c:v>
                </c:pt>
                <c:pt idx="2">
                  <c:v>249.2457</c:v>
                </c:pt>
                <c:pt idx="3">
                  <c:v>246.50360000000001</c:v>
                </c:pt>
                <c:pt idx="4">
                  <c:v>243.84299999999999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B-4A0D-A7E0-F7538592F1A9}"/>
            </c:ext>
          </c:extLst>
        </c:ser>
        <c:ser>
          <c:idx val="3"/>
          <c:order val="3"/>
          <c:tx>
            <c:strRef>
              <c:f>'OF vs Isp'!$E$1</c:f>
              <c:strCache>
                <c:ptCount val="1"/>
                <c:pt idx="0">
                  <c:v>Isp s  Pc 1.3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Isp'!$E$2:$E$6</c:f>
              <c:numCache>
                <c:formatCode>0.0</c:formatCode>
                <c:ptCount val="5"/>
                <c:pt idx="0">
                  <c:v>258.685</c:v>
                </c:pt>
                <c:pt idx="1">
                  <c:v>255.85120000000001</c:v>
                </c:pt>
                <c:pt idx="2">
                  <c:v>253.00710000000001</c:v>
                </c:pt>
                <c:pt idx="3">
                  <c:v>250.2243</c:v>
                </c:pt>
                <c:pt idx="4">
                  <c:v>247.53309999999999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B-4A0D-A7E0-F7538592F1A9}"/>
            </c:ext>
          </c:extLst>
        </c:ser>
        <c:ser>
          <c:idx val="4"/>
          <c:order val="4"/>
          <c:tx>
            <c:strRef>
              <c:f>'OF vs Isp'!$F$1</c:f>
              <c:strCache>
                <c:ptCount val="1"/>
                <c:pt idx="0">
                  <c:v>Isp s  Pc 1.4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Isp'!$F$2:$F$6</c:f>
              <c:numCache>
                <c:formatCode>0.0</c:formatCode>
                <c:ptCount val="5"/>
                <c:pt idx="0">
                  <c:v>262.16109999999998</c:v>
                </c:pt>
                <c:pt idx="1">
                  <c:v>259.30680000000001</c:v>
                </c:pt>
                <c:pt idx="2">
                  <c:v>256.43220000000002</c:v>
                </c:pt>
                <c:pt idx="3">
                  <c:v>253.6086</c:v>
                </c:pt>
                <c:pt idx="4">
                  <c:v>250.8869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EB-4A0D-A7E0-F7538592F1A9}"/>
            </c:ext>
          </c:extLst>
        </c:ser>
        <c:ser>
          <c:idx val="5"/>
          <c:order val="5"/>
          <c:tx>
            <c:strRef>
              <c:f>'OF vs Isp'!$G$1</c:f>
              <c:strCache>
                <c:ptCount val="1"/>
                <c:pt idx="0">
                  <c:v>Isp s   PC 1.5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Isp'!$G$2:$G$6</c:f>
              <c:numCache>
                <c:formatCode>0.0</c:formatCode>
                <c:ptCount val="5"/>
                <c:pt idx="0">
                  <c:v>265.3</c:v>
                </c:pt>
                <c:pt idx="1">
                  <c:v>262.5</c:v>
                </c:pt>
                <c:pt idx="2">
                  <c:v>259.60000000000002</c:v>
                </c:pt>
                <c:pt idx="3">
                  <c:v>256.7</c:v>
                </c:pt>
                <c:pt idx="4">
                  <c:v>253.9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EB-4A0D-A7E0-F7538592F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56735"/>
        <c:axId val="286373535"/>
      </c:lineChart>
      <c:catAx>
        <c:axId val="28635673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73535"/>
        <c:crosses val="autoZero"/>
        <c:auto val="1"/>
        <c:lblAlgn val="ctr"/>
        <c:lblOffset val="100"/>
        <c:noMultiLvlLbl val="0"/>
      </c:catAx>
      <c:valAx>
        <c:axId val="2863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5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165755</xdr:colOff>
      <xdr:row>5</xdr:row>
      <xdr:rowOff>137365</xdr:rowOff>
    </xdr:from>
    <xdr:to>
      <xdr:col>17</xdr:col>
      <xdr:colOff>371495</xdr:colOff>
      <xdr:row>25</xdr:row>
      <xdr:rowOff>26957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BBE226-2274-43B9-8FCF-165DB5688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297180</xdr:colOff>
      <xdr:row>2</xdr:row>
      <xdr:rowOff>125730</xdr:rowOff>
    </xdr:from>
    <xdr:to>
      <xdr:col>19</xdr:col>
      <xdr:colOff>601980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1F74D-D18B-322F-A6CD-82C098A08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20</xdr:row>
      <xdr:rowOff>87630</xdr:rowOff>
    </xdr:from>
    <xdr:to>
      <xdr:col>13</xdr:col>
      <xdr:colOff>190500</xdr:colOff>
      <xdr:row>35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DD9C9D-20E5-412C-928D-088A6AB31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2</xdr:row>
      <xdr:rowOff>57150</xdr:rowOff>
    </xdr:from>
    <xdr:to>
      <xdr:col>19</xdr:col>
      <xdr:colOff>266700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C3437-1A9D-B0E1-1C18-A3C097E07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1</xdr:row>
      <xdr:rowOff>26670</xdr:rowOff>
    </xdr:from>
    <xdr:to>
      <xdr:col>17</xdr:col>
      <xdr:colOff>495300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06193-AC2B-FEE5-680A-5AEC85F71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289560</xdr:colOff>
      <xdr:row>6</xdr:row>
      <xdr:rowOff>34290</xdr:rowOff>
    </xdr:from>
    <xdr:to>
      <xdr:col>20</xdr:col>
      <xdr:colOff>594360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7D4CF-CA09-2074-2F3B-FEB9334A2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365760</xdr:colOff>
      <xdr:row>1</xdr:row>
      <xdr:rowOff>148590</xdr:rowOff>
    </xdr:from>
    <xdr:to>
      <xdr:col>19</xdr:col>
      <xdr:colOff>137160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52AF5-173E-5C70-B876-C4EC610F3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601980</xdr:colOff>
      <xdr:row>3</xdr:row>
      <xdr:rowOff>179070</xdr:rowOff>
    </xdr:from>
    <xdr:to>
      <xdr:col>20</xdr:col>
      <xdr:colOff>297180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4C8C7-8335-A517-A8E5-DC19C4B93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129540</xdr:colOff>
      <xdr:row>6</xdr:row>
      <xdr:rowOff>41910</xdr:rowOff>
    </xdr:from>
    <xdr:to>
      <xdr:col>15</xdr:col>
      <xdr:colOff>434340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3C5148-28FE-1AA5-336B-09CCC58A2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868680</xdr:colOff>
      <xdr:row>24</xdr:row>
      <xdr:rowOff>68580</xdr:rowOff>
    </xdr:from>
    <xdr:to>
      <xdr:col>18</xdr:col>
      <xdr:colOff>182880</xdr:colOff>
      <xdr:row>51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F6D62-3CD2-8FA1-F2F6-33ADFFBF5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358140</xdr:colOff>
      <xdr:row>0</xdr:row>
      <xdr:rowOff>0</xdr:rowOff>
    </xdr:from>
    <xdr:to>
      <xdr:col>17</xdr:col>
      <xdr:colOff>502920</xdr:colOff>
      <xdr:row>22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BF0C9-9F2B-46AC-8F2C-CBBCBB0D0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F242-308A-4C51-9B94-BF83F95318D3}">
  <dimension ref="A1:I54"/>
  <sheetViews>
    <sheetView topLeftCell="B7" zoomScale="93" workbookViewId="0">
      <selection activeCell="S16" sqref="S16"/>
    </sheetView>
  </sheetViews>
  <sheetFormatPr defaultRowHeight="14.4" x14ac:dyDescent="0.3"/>
  <cols>
    <col min="1" max="1" width="15.77734375" bestFit="1" customWidth="1"/>
    <col min="3" max="3" width="11.5546875" bestFit="1" customWidth="1"/>
    <col min="8" max="8" width="25.109375" bestFit="1" customWidth="1"/>
    <col min="9" max="9" width="24.88671875" bestFit="1" customWidth="1"/>
  </cols>
  <sheetData>
    <row r="1" spans="1:9" x14ac:dyDescent="0.3">
      <c r="A1" s="2" t="s">
        <v>1</v>
      </c>
      <c r="B1" s="2" t="s">
        <v>4</v>
      </c>
      <c r="C1" s="2" t="s">
        <v>5</v>
      </c>
      <c r="D1" s="2" t="s">
        <v>0</v>
      </c>
    </row>
    <row r="2" spans="1:9" ht="25.8" x14ac:dyDescent="0.5">
      <c r="A2" t="s">
        <v>3</v>
      </c>
      <c r="B2" s="5">
        <v>5</v>
      </c>
      <c r="C2" s="5">
        <v>3310.9</v>
      </c>
      <c r="D2" s="5">
        <v>0</v>
      </c>
      <c r="H2" s="4" t="s">
        <v>6</v>
      </c>
      <c r="I2" s="3"/>
    </row>
    <row r="3" spans="1:9" x14ac:dyDescent="0.3">
      <c r="A3" t="s">
        <v>2</v>
      </c>
      <c r="B3" s="5">
        <v>2.9087999999999998</v>
      </c>
      <c r="C3" s="5">
        <v>3178.6</v>
      </c>
      <c r="D3" s="5">
        <v>1161.2</v>
      </c>
      <c r="H3" s="3"/>
      <c r="I3" s="3"/>
    </row>
    <row r="4" spans="1:9" x14ac:dyDescent="0.3">
      <c r="A4" t="s">
        <v>3</v>
      </c>
      <c r="B4" s="5">
        <v>6.5</v>
      </c>
      <c r="C4" s="5">
        <v>3348.2</v>
      </c>
      <c r="D4" s="5">
        <v>0</v>
      </c>
      <c r="G4" s="2" t="s">
        <v>7</v>
      </c>
      <c r="H4" s="2" t="s">
        <v>8</v>
      </c>
      <c r="I4" s="2" t="s">
        <v>9</v>
      </c>
    </row>
    <row r="5" spans="1:9" x14ac:dyDescent="0.3">
      <c r="A5" t="s">
        <v>2</v>
      </c>
      <c r="B5" s="5">
        <v>3.7799</v>
      </c>
      <c r="C5" s="5">
        <v>3212.4</v>
      </c>
      <c r="D5" s="5">
        <v>1165.9000000000001</v>
      </c>
      <c r="G5" s="5">
        <v>5</v>
      </c>
      <c r="H5" s="5">
        <f>G5/10</f>
        <v>0.5</v>
      </c>
      <c r="I5" s="5">
        <v>3310.9</v>
      </c>
    </row>
    <row r="6" spans="1:9" x14ac:dyDescent="0.3">
      <c r="A6" t="s">
        <v>3</v>
      </c>
      <c r="B6" s="5">
        <v>8</v>
      </c>
      <c r="C6" s="5">
        <v>3378.1</v>
      </c>
      <c r="D6" s="5">
        <v>0</v>
      </c>
      <c r="F6" s="1"/>
      <c r="G6" s="5">
        <v>6.5</v>
      </c>
      <c r="H6" s="5">
        <f t="shared" ref="H6:H29" si="0">G6/10</f>
        <v>0.65</v>
      </c>
      <c r="I6" s="5">
        <v>3348.2</v>
      </c>
    </row>
    <row r="7" spans="1:9" x14ac:dyDescent="0.3">
      <c r="A7" t="s">
        <v>2</v>
      </c>
      <c r="B7" s="5">
        <v>4.6506999999999996</v>
      </c>
      <c r="C7" s="5">
        <v>3239.4</v>
      </c>
      <c r="D7" s="5">
        <v>1169.7</v>
      </c>
      <c r="G7" s="5">
        <v>8</v>
      </c>
      <c r="H7" s="5">
        <f t="shared" si="0"/>
        <v>0.8</v>
      </c>
      <c r="I7" s="5">
        <v>3378.1</v>
      </c>
    </row>
    <row r="8" spans="1:9" x14ac:dyDescent="0.3">
      <c r="A8" t="s">
        <v>3</v>
      </c>
      <c r="B8" s="5">
        <v>9.5</v>
      </c>
      <c r="C8" s="5">
        <v>3403</v>
      </c>
      <c r="D8" s="5">
        <v>0</v>
      </c>
      <c r="G8" s="5">
        <v>9.5</v>
      </c>
      <c r="H8" s="5">
        <f t="shared" si="0"/>
        <v>0.95</v>
      </c>
      <c r="I8" s="5">
        <v>3403</v>
      </c>
    </row>
    <row r="9" spans="1:9" x14ac:dyDescent="0.3">
      <c r="A9" t="s">
        <v>2</v>
      </c>
      <c r="B9" s="5">
        <v>5.5212000000000003</v>
      </c>
      <c r="C9" s="5">
        <v>3261.9</v>
      </c>
      <c r="D9" s="5">
        <v>1172.8</v>
      </c>
      <c r="G9" s="5">
        <v>11</v>
      </c>
      <c r="H9" s="5">
        <f t="shared" si="0"/>
        <v>1.1000000000000001</v>
      </c>
      <c r="I9" s="5">
        <v>3424.3</v>
      </c>
    </row>
    <row r="10" spans="1:9" ht="15.6" customHeight="1" x14ac:dyDescent="0.3">
      <c r="A10" t="s">
        <v>3</v>
      </c>
      <c r="B10" s="5">
        <v>11</v>
      </c>
      <c r="C10" s="5">
        <v>3424.3</v>
      </c>
      <c r="D10" s="5">
        <v>0</v>
      </c>
      <c r="G10" s="5">
        <v>12.5</v>
      </c>
      <c r="H10" s="5">
        <f t="shared" si="0"/>
        <v>1.25</v>
      </c>
      <c r="I10" s="5">
        <v>3443.1</v>
      </c>
    </row>
    <row r="11" spans="1:9" x14ac:dyDescent="0.3">
      <c r="A11" t="s">
        <v>2</v>
      </c>
      <c r="B11" s="5">
        <v>6.3914999999999997</v>
      </c>
      <c r="C11" s="5">
        <v>3281.2</v>
      </c>
      <c r="D11" s="5">
        <v>1175.4000000000001</v>
      </c>
      <c r="G11" s="5">
        <v>14</v>
      </c>
      <c r="H11" s="5">
        <f t="shared" si="0"/>
        <v>1.4</v>
      </c>
      <c r="I11" s="5">
        <v>3459.8</v>
      </c>
    </row>
    <row r="12" spans="1:9" x14ac:dyDescent="0.3">
      <c r="A12" t="s">
        <v>3</v>
      </c>
      <c r="B12" s="5">
        <v>12.5</v>
      </c>
      <c r="C12" s="5">
        <v>3443.1</v>
      </c>
      <c r="D12" s="5">
        <v>0</v>
      </c>
      <c r="G12" s="5">
        <v>15.5</v>
      </c>
      <c r="H12" s="5">
        <f t="shared" si="0"/>
        <v>1.55</v>
      </c>
      <c r="I12" s="5">
        <v>3474.9</v>
      </c>
    </row>
    <row r="13" spans="1:9" x14ac:dyDescent="0.3">
      <c r="A13" t="s">
        <v>2</v>
      </c>
      <c r="B13" s="5">
        <v>7.2615999999999996</v>
      </c>
      <c r="C13" s="5">
        <v>3298.2</v>
      </c>
      <c r="D13" s="5">
        <v>1177.7</v>
      </c>
      <c r="G13" s="5">
        <v>17</v>
      </c>
      <c r="H13" s="5">
        <f t="shared" si="0"/>
        <v>1.7</v>
      </c>
      <c r="I13" s="5">
        <v>3488.6</v>
      </c>
    </row>
    <row r="14" spans="1:9" x14ac:dyDescent="0.3">
      <c r="A14" t="s">
        <v>3</v>
      </c>
      <c r="B14" s="5">
        <v>14</v>
      </c>
      <c r="C14" s="5">
        <v>3459.8</v>
      </c>
      <c r="D14" s="5">
        <v>0</v>
      </c>
      <c r="G14" s="5">
        <v>18.5</v>
      </c>
      <c r="H14" s="5">
        <f t="shared" si="0"/>
        <v>1.85</v>
      </c>
      <c r="I14" s="5">
        <v>3501.2</v>
      </c>
    </row>
    <row r="15" spans="1:9" x14ac:dyDescent="0.3">
      <c r="A15" t="s">
        <v>2</v>
      </c>
      <c r="B15" s="5">
        <v>8.1316000000000006</v>
      </c>
      <c r="C15" s="5">
        <v>3313.2</v>
      </c>
      <c r="D15" s="5">
        <v>1179.8</v>
      </c>
      <c r="G15" s="5">
        <v>20</v>
      </c>
      <c r="H15" s="5">
        <f t="shared" si="0"/>
        <v>2</v>
      </c>
      <c r="I15" s="5">
        <v>3512.9</v>
      </c>
    </row>
    <row r="16" spans="1:9" x14ac:dyDescent="0.3">
      <c r="A16" t="s">
        <v>3</v>
      </c>
      <c r="B16" s="5">
        <v>15.5</v>
      </c>
      <c r="C16" s="5">
        <v>3474.9</v>
      </c>
      <c r="D16" s="5">
        <v>0</v>
      </c>
      <c r="G16" s="5">
        <v>21.5</v>
      </c>
      <c r="H16" s="5">
        <f t="shared" si="0"/>
        <v>2.15</v>
      </c>
      <c r="I16" s="5">
        <v>3523.7</v>
      </c>
    </row>
    <row r="17" spans="1:9" x14ac:dyDescent="0.3">
      <c r="A17" t="s">
        <v>2</v>
      </c>
      <c r="B17" s="5">
        <v>9.0014000000000003</v>
      </c>
      <c r="C17" s="5">
        <v>3326.8</v>
      </c>
      <c r="D17" s="5">
        <v>1181.5999999999999</v>
      </c>
      <c r="G17" s="5">
        <v>23</v>
      </c>
      <c r="H17" s="5">
        <f t="shared" si="0"/>
        <v>2.2999999999999998</v>
      </c>
      <c r="I17" s="5">
        <v>3533.9</v>
      </c>
    </row>
    <row r="18" spans="1:9" x14ac:dyDescent="0.3">
      <c r="A18" t="s">
        <v>3</v>
      </c>
      <c r="B18" s="5">
        <v>17</v>
      </c>
      <c r="C18" s="5">
        <v>3488.6</v>
      </c>
      <c r="D18" s="5">
        <v>0</v>
      </c>
      <c r="G18" s="5">
        <v>24.5</v>
      </c>
      <c r="H18" s="5">
        <f t="shared" si="0"/>
        <v>2.4500000000000002</v>
      </c>
      <c r="I18" s="5">
        <v>3543.4</v>
      </c>
    </row>
    <row r="19" spans="1:9" x14ac:dyDescent="0.3">
      <c r="A19" t="s">
        <v>2</v>
      </c>
      <c r="B19" s="5">
        <v>9.8711000000000002</v>
      </c>
      <c r="C19" s="5">
        <v>3339.2</v>
      </c>
      <c r="D19" s="5">
        <v>1183.2</v>
      </c>
      <c r="G19" s="5">
        <v>26</v>
      </c>
      <c r="H19" s="5">
        <f t="shared" si="0"/>
        <v>2.6</v>
      </c>
      <c r="I19" s="5">
        <v>3552.4</v>
      </c>
    </row>
    <row r="20" spans="1:9" x14ac:dyDescent="0.3">
      <c r="A20" t="s">
        <v>3</v>
      </c>
      <c r="B20" s="5">
        <v>18.5</v>
      </c>
      <c r="C20" s="5">
        <v>3501.2</v>
      </c>
      <c r="D20" s="5">
        <v>0</v>
      </c>
      <c r="G20" s="5">
        <v>27.5</v>
      </c>
      <c r="H20" s="5">
        <f t="shared" si="0"/>
        <v>2.75</v>
      </c>
      <c r="I20" s="5">
        <v>3560.9</v>
      </c>
    </row>
    <row r="21" spans="1:9" x14ac:dyDescent="0.3">
      <c r="A21" t="s">
        <v>2</v>
      </c>
      <c r="B21" s="5">
        <v>10.741</v>
      </c>
      <c r="C21" s="5">
        <v>3350.6</v>
      </c>
      <c r="D21" s="5">
        <v>1184.8</v>
      </c>
      <c r="G21" s="5">
        <v>29</v>
      </c>
      <c r="H21" s="5">
        <f t="shared" si="0"/>
        <v>2.9</v>
      </c>
      <c r="I21" s="5">
        <v>3568.9</v>
      </c>
    </row>
    <row r="22" spans="1:9" x14ac:dyDescent="0.3">
      <c r="A22" t="s">
        <v>3</v>
      </c>
      <c r="B22" s="5">
        <v>20</v>
      </c>
      <c r="C22" s="5">
        <v>3512.9</v>
      </c>
      <c r="D22" s="5">
        <v>0</v>
      </c>
      <c r="G22" s="5">
        <v>30.5</v>
      </c>
      <c r="H22" s="5">
        <f t="shared" si="0"/>
        <v>3.05</v>
      </c>
      <c r="I22" s="5">
        <v>3576.6</v>
      </c>
    </row>
    <row r="23" spans="1:9" x14ac:dyDescent="0.3">
      <c r="A23" t="s">
        <v>2</v>
      </c>
      <c r="B23" s="5">
        <v>11.61</v>
      </c>
      <c r="C23" s="5">
        <v>3361.1</v>
      </c>
      <c r="D23" s="5">
        <v>1186.2</v>
      </c>
      <c r="G23" s="5">
        <v>32</v>
      </c>
      <c r="H23" s="5">
        <f t="shared" si="0"/>
        <v>3.2</v>
      </c>
      <c r="I23" s="5">
        <v>3583.9</v>
      </c>
    </row>
    <row r="24" spans="1:9" x14ac:dyDescent="0.3">
      <c r="A24" t="s">
        <v>3</v>
      </c>
      <c r="B24" s="5">
        <v>21.5</v>
      </c>
      <c r="C24" s="5">
        <v>3523.7</v>
      </c>
      <c r="D24" s="5">
        <v>0</v>
      </c>
      <c r="G24" s="5">
        <v>33.5</v>
      </c>
      <c r="H24" s="5">
        <f t="shared" si="0"/>
        <v>3.35</v>
      </c>
      <c r="I24" s="5">
        <v>3590.9</v>
      </c>
    </row>
    <row r="25" spans="1:9" x14ac:dyDescent="0.3">
      <c r="A25" t="s">
        <v>2</v>
      </c>
      <c r="B25" s="5">
        <v>12.478999999999999</v>
      </c>
      <c r="C25" s="5">
        <v>3370.8</v>
      </c>
      <c r="D25" s="5">
        <v>1187.5</v>
      </c>
      <c r="G25" s="5">
        <v>35</v>
      </c>
      <c r="H25" s="5">
        <f t="shared" si="0"/>
        <v>3.5</v>
      </c>
      <c r="I25" s="5">
        <v>3597.6</v>
      </c>
    </row>
    <row r="26" spans="1:9" x14ac:dyDescent="0.3">
      <c r="A26" t="s">
        <v>3</v>
      </c>
      <c r="B26" s="5">
        <v>23</v>
      </c>
      <c r="C26" s="5">
        <v>3533.9</v>
      </c>
      <c r="D26" s="5">
        <v>0</v>
      </c>
      <c r="G26" s="5">
        <v>36.5</v>
      </c>
      <c r="H26" s="5">
        <f t="shared" si="0"/>
        <v>3.65</v>
      </c>
      <c r="I26" s="5">
        <v>3604</v>
      </c>
    </row>
    <row r="27" spans="1:9" x14ac:dyDescent="0.3">
      <c r="A27" t="s">
        <v>2</v>
      </c>
      <c r="B27" s="5">
        <v>13.349</v>
      </c>
      <c r="C27" s="5">
        <v>3379.9</v>
      </c>
      <c r="D27" s="5">
        <v>1188.7</v>
      </c>
      <c r="G27" s="5">
        <v>38</v>
      </c>
      <c r="H27" s="5">
        <f t="shared" si="0"/>
        <v>3.8</v>
      </c>
      <c r="I27" s="5">
        <v>3610.1</v>
      </c>
    </row>
    <row r="28" spans="1:9" x14ac:dyDescent="0.3">
      <c r="A28" t="s">
        <v>3</v>
      </c>
      <c r="B28" s="5">
        <v>24.5</v>
      </c>
      <c r="C28" s="5">
        <v>3543.4</v>
      </c>
      <c r="D28" s="5">
        <v>0</v>
      </c>
      <c r="G28" s="5">
        <v>39.5</v>
      </c>
      <c r="H28" s="5">
        <f t="shared" si="0"/>
        <v>3.95</v>
      </c>
      <c r="I28" s="5">
        <v>3616.1</v>
      </c>
    </row>
    <row r="29" spans="1:9" x14ac:dyDescent="0.3">
      <c r="A29" t="s">
        <v>2</v>
      </c>
      <c r="B29" s="5">
        <v>14.218</v>
      </c>
      <c r="C29" s="5">
        <v>3388.5</v>
      </c>
      <c r="D29" s="5">
        <v>1189.8</v>
      </c>
      <c r="G29" s="5">
        <v>41</v>
      </c>
      <c r="H29" s="5">
        <f t="shared" si="0"/>
        <v>4.0999999999999996</v>
      </c>
      <c r="I29" s="5">
        <v>3621.8</v>
      </c>
    </row>
    <row r="30" spans="1:9" x14ac:dyDescent="0.3">
      <c r="A30" t="s">
        <v>3</v>
      </c>
      <c r="B30" s="5">
        <v>26</v>
      </c>
      <c r="C30" s="5">
        <v>3552.4</v>
      </c>
      <c r="D30" s="5">
        <v>0</v>
      </c>
      <c r="H30" s="1"/>
      <c r="I30" s="1"/>
    </row>
    <row r="31" spans="1:9" x14ac:dyDescent="0.3">
      <c r="A31" t="s">
        <v>2</v>
      </c>
      <c r="B31" s="5">
        <v>15.087</v>
      </c>
      <c r="C31" s="5">
        <v>3396.6</v>
      </c>
      <c r="D31" s="5">
        <v>1190.8</v>
      </c>
      <c r="H31" s="1"/>
      <c r="I31" s="1"/>
    </row>
    <row r="32" spans="1:9" x14ac:dyDescent="0.3">
      <c r="A32" t="s">
        <v>3</v>
      </c>
      <c r="B32" s="5">
        <v>27.5</v>
      </c>
      <c r="C32" s="5">
        <v>3560.9</v>
      </c>
      <c r="D32" s="5">
        <v>0</v>
      </c>
      <c r="H32" s="1"/>
      <c r="I32" s="1"/>
    </row>
    <row r="33" spans="1:9" x14ac:dyDescent="0.3">
      <c r="A33" t="s">
        <v>2</v>
      </c>
      <c r="B33" s="5">
        <v>15.956</v>
      </c>
      <c r="C33" s="5">
        <v>3404.2</v>
      </c>
      <c r="D33" s="5">
        <v>1191.8</v>
      </c>
      <c r="H33" s="1"/>
      <c r="I33" s="1"/>
    </row>
    <row r="34" spans="1:9" x14ac:dyDescent="0.3">
      <c r="A34" t="s">
        <v>3</v>
      </c>
      <c r="B34" s="5">
        <v>29</v>
      </c>
      <c r="C34" s="5">
        <v>3568.9</v>
      </c>
      <c r="D34" s="5">
        <v>0</v>
      </c>
      <c r="H34" s="1"/>
      <c r="I34" s="1"/>
    </row>
    <row r="35" spans="1:9" x14ac:dyDescent="0.3">
      <c r="A35" t="s">
        <v>2</v>
      </c>
      <c r="B35" s="5">
        <v>16.824999999999999</v>
      </c>
      <c r="C35" s="5">
        <v>3411.4</v>
      </c>
      <c r="D35" s="5">
        <v>1192.8</v>
      </c>
      <c r="H35" s="1"/>
      <c r="I35" s="1"/>
    </row>
    <row r="36" spans="1:9" x14ac:dyDescent="0.3">
      <c r="A36" t="s">
        <v>3</v>
      </c>
      <c r="B36" s="5">
        <v>30.5</v>
      </c>
      <c r="C36" s="5">
        <v>3576.6</v>
      </c>
      <c r="D36" s="5">
        <v>0</v>
      </c>
      <c r="H36" s="1"/>
      <c r="I36" s="1"/>
    </row>
    <row r="37" spans="1:9" x14ac:dyDescent="0.3">
      <c r="A37" t="s">
        <v>2</v>
      </c>
      <c r="B37" s="5">
        <v>17.693999999999999</v>
      </c>
      <c r="C37" s="5">
        <v>3418.3</v>
      </c>
      <c r="D37" s="5">
        <v>1193.7</v>
      </c>
      <c r="H37" s="1"/>
      <c r="I37" s="1"/>
    </row>
    <row r="38" spans="1:9" x14ac:dyDescent="0.3">
      <c r="A38" t="s">
        <v>3</v>
      </c>
      <c r="B38" s="5">
        <v>32</v>
      </c>
      <c r="C38" s="5">
        <v>3583.9</v>
      </c>
      <c r="D38" s="5">
        <v>0</v>
      </c>
      <c r="G38" s="2"/>
      <c r="H38" s="7"/>
      <c r="I38" s="7"/>
    </row>
    <row r="39" spans="1:9" x14ac:dyDescent="0.3">
      <c r="A39" t="s">
        <v>2</v>
      </c>
      <c r="B39" s="5">
        <v>18.562999999999999</v>
      </c>
      <c r="C39" s="5">
        <v>3424.9</v>
      </c>
      <c r="D39" s="5">
        <v>1194.5</v>
      </c>
      <c r="G39" s="2"/>
      <c r="H39" s="8" t="s">
        <v>34</v>
      </c>
      <c r="I39" s="8"/>
    </row>
    <row r="40" spans="1:9" x14ac:dyDescent="0.3">
      <c r="A40" t="s">
        <v>3</v>
      </c>
      <c r="B40" s="5">
        <v>33.5</v>
      </c>
      <c r="C40" s="5">
        <v>3590.9</v>
      </c>
      <c r="D40" s="5">
        <v>0</v>
      </c>
      <c r="G40" s="2"/>
      <c r="H40" s="8" t="s">
        <v>35</v>
      </c>
      <c r="I40" s="8"/>
    </row>
    <row r="41" spans="1:9" x14ac:dyDescent="0.3">
      <c r="A41" t="s">
        <v>2</v>
      </c>
      <c r="B41" s="5">
        <v>19.431000000000001</v>
      </c>
      <c r="C41" s="5">
        <v>3431.2</v>
      </c>
      <c r="D41" s="5">
        <v>1195.3</v>
      </c>
      <c r="G41" s="2"/>
      <c r="H41" s="8" t="s">
        <v>36</v>
      </c>
      <c r="I41" s="8"/>
    </row>
    <row r="42" spans="1:9" x14ac:dyDescent="0.3">
      <c r="A42" t="s">
        <v>3</v>
      </c>
      <c r="B42" s="5">
        <v>35</v>
      </c>
      <c r="C42" s="5">
        <v>3597.6</v>
      </c>
      <c r="D42" s="5">
        <v>0</v>
      </c>
      <c r="G42" s="2"/>
      <c r="H42" s="8" t="s">
        <v>37</v>
      </c>
      <c r="I42" s="8"/>
    </row>
    <row r="43" spans="1:9" x14ac:dyDescent="0.3">
      <c r="A43" t="s">
        <v>2</v>
      </c>
      <c r="B43" s="5">
        <v>20.3</v>
      </c>
      <c r="C43" s="5">
        <v>3437.2</v>
      </c>
      <c r="D43" s="5">
        <v>1196.0999999999999</v>
      </c>
      <c r="G43" s="2"/>
      <c r="H43" s="8" t="s">
        <v>38</v>
      </c>
      <c r="I43" s="8"/>
    </row>
    <row r="44" spans="1:9" x14ac:dyDescent="0.3">
      <c r="A44" t="s">
        <v>3</v>
      </c>
      <c r="B44" s="5">
        <v>36.5</v>
      </c>
      <c r="C44" s="5">
        <v>3604</v>
      </c>
      <c r="D44" s="5">
        <v>0</v>
      </c>
      <c r="G44" s="2"/>
      <c r="H44" s="8" t="s">
        <v>39</v>
      </c>
      <c r="I44" s="8"/>
    </row>
    <row r="45" spans="1:9" x14ac:dyDescent="0.3">
      <c r="A45" t="s">
        <v>2</v>
      </c>
      <c r="B45" s="5">
        <v>21.169</v>
      </c>
      <c r="C45" s="5">
        <v>3442.9</v>
      </c>
      <c r="D45" s="5">
        <v>1196.9000000000001</v>
      </c>
      <c r="G45" s="2"/>
      <c r="H45" s="8" t="s">
        <v>40</v>
      </c>
      <c r="I45" s="8"/>
    </row>
    <row r="46" spans="1:9" x14ac:dyDescent="0.3">
      <c r="A46" t="s">
        <v>3</v>
      </c>
      <c r="B46" s="5">
        <v>38</v>
      </c>
      <c r="C46" s="5">
        <v>3610.1</v>
      </c>
      <c r="D46" s="5">
        <v>0</v>
      </c>
      <c r="G46" s="2"/>
      <c r="H46" s="8" t="s">
        <v>41</v>
      </c>
      <c r="I46" s="8"/>
    </row>
    <row r="47" spans="1:9" x14ac:dyDescent="0.3">
      <c r="A47" t="s">
        <v>2</v>
      </c>
      <c r="B47" s="5">
        <v>22.036999999999999</v>
      </c>
      <c r="C47" s="5">
        <v>3448.4</v>
      </c>
      <c r="D47" s="5">
        <v>1197.5999999999999</v>
      </c>
      <c r="G47" s="2"/>
      <c r="H47" s="8" t="s">
        <v>42</v>
      </c>
      <c r="I47" s="8"/>
    </row>
    <row r="48" spans="1:9" x14ac:dyDescent="0.3">
      <c r="A48" t="s">
        <v>3</v>
      </c>
      <c r="B48" s="5">
        <v>39.5</v>
      </c>
      <c r="C48" s="5">
        <v>3616.1</v>
      </c>
      <c r="D48" s="5">
        <v>0</v>
      </c>
      <c r="G48" s="2"/>
      <c r="H48" s="8" t="s">
        <v>43</v>
      </c>
      <c r="I48" s="8"/>
    </row>
    <row r="49" spans="1:9" x14ac:dyDescent="0.3">
      <c r="A49" t="s">
        <v>2</v>
      </c>
      <c r="B49" s="5">
        <v>22.905999999999999</v>
      </c>
      <c r="C49" s="5">
        <v>3453.8</v>
      </c>
      <c r="D49" s="5">
        <v>1198.3</v>
      </c>
      <c r="G49" s="2"/>
      <c r="H49" s="8" t="s">
        <v>44</v>
      </c>
      <c r="I49" s="8"/>
    </row>
    <row r="50" spans="1:9" x14ac:dyDescent="0.3">
      <c r="A50" t="s">
        <v>3</v>
      </c>
      <c r="B50" s="5">
        <v>41</v>
      </c>
      <c r="C50" s="5">
        <v>3621.8</v>
      </c>
      <c r="D50" s="5">
        <v>0</v>
      </c>
      <c r="G50" s="2"/>
      <c r="H50" s="8" t="s">
        <v>45</v>
      </c>
      <c r="I50" s="8"/>
    </row>
    <row r="51" spans="1:9" x14ac:dyDescent="0.3">
      <c r="A51" t="s">
        <v>2</v>
      </c>
      <c r="B51" s="5">
        <v>23.774000000000001</v>
      </c>
      <c r="C51" s="5">
        <v>3458.9</v>
      </c>
      <c r="D51" s="5">
        <v>1198.9000000000001</v>
      </c>
      <c r="G51" s="2"/>
      <c r="H51" s="8" t="s">
        <v>46</v>
      </c>
      <c r="I51" s="8"/>
    </row>
    <row r="52" spans="1:9" x14ac:dyDescent="0.3">
      <c r="B52" s="5"/>
      <c r="C52" s="5"/>
      <c r="D52" s="5"/>
      <c r="G52" s="2"/>
      <c r="H52" s="8" t="s">
        <v>47</v>
      </c>
      <c r="I52" s="8"/>
    </row>
    <row r="53" spans="1:9" x14ac:dyDescent="0.3">
      <c r="G53" s="2"/>
      <c r="H53" s="8" t="s">
        <v>48</v>
      </c>
      <c r="I53" s="8"/>
    </row>
    <row r="54" spans="1:9" x14ac:dyDescent="0.3">
      <c r="G54" s="2"/>
      <c r="H54" s="7"/>
      <c r="I54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B716-BD31-4DEE-9FC0-6F40A0958590}">
  <dimension ref="C11:K40"/>
  <sheetViews>
    <sheetView topLeftCell="A15" workbookViewId="0">
      <selection activeCell="J14" sqref="J14"/>
    </sheetView>
  </sheetViews>
  <sheetFormatPr defaultRowHeight="14.4" x14ac:dyDescent="0.3"/>
  <sheetData>
    <row r="11" spans="3:11" x14ac:dyDescent="0.3">
      <c r="F11" s="25"/>
      <c r="G11" s="25"/>
      <c r="H11" s="25"/>
      <c r="I11" s="9" t="s">
        <v>61</v>
      </c>
      <c r="J11" s="10">
        <v>5000</v>
      </c>
      <c r="K11" s="11" t="s">
        <v>62</v>
      </c>
    </row>
    <row r="12" spans="3:11" x14ac:dyDescent="0.3">
      <c r="C12" t="s">
        <v>63</v>
      </c>
      <c r="F12" s="25"/>
      <c r="G12" s="25"/>
      <c r="H12" s="25"/>
      <c r="I12" s="9" t="s">
        <v>64</v>
      </c>
      <c r="J12" s="10">
        <f>1.2*1000000</f>
        <v>1200000</v>
      </c>
      <c r="K12" s="11" t="s">
        <v>65</v>
      </c>
    </row>
    <row r="13" spans="3:11" x14ac:dyDescent="0.3">
      <c r="F13" s="25"/>
      <c r="G13" s="25"/>
      <c r="H13" s="25"/>
      <c r="I13" s="9" t="s">
        <v>66</v>
      </c>
      <c r="J13" s="10">
        <v>3.4</v>
      </c>
      <c r="K13" s="11"/>
    </row>
    <row r="14" spans="3:11" x14ac:dyDescent="0.3">
      <c r="I14" s="12"/>
      <c r="J14" s="2"/>
      <c r="K14" s="13"/>
    </row>
    <row r="15" spans="3:11" x14ac:dyDescent="0.3">
      <c r="F15" s="26"/>
      <c r="G15" s="26"/>
      <c r="H15" s="26"/>
      <c r="I15" s="27" t="s">
        <v>67</v>
      </c>
      <c r="J15" s="14">
        <v>2458.9</v>
      </c>
      <c r="K15" s="15" t="s">
        <v>68</v>
      </c>
    </row>
    <row r="16" spans="3:11" x14ac:dyDescent="0.3">
      <c r="C16" t="s">
        <v>69</v>
      </c>
      <c r="F16" s="26"/>
      <c r="G16" s="26"/>
      <c r="H16" s="26"/>
      <c r="I16" s="27" t="s">
        <v>70</v>
      </c>
      <c r="J16" s="16">
        <v>1862.8</v>
      </c>
      <c r="K16" s="15" t="s">
        <v>68</v>
      </c>
    </row>
    <row r="17" spans="6:11" x14ac:dyDescent="0.3">
      <c r="F17" s="26"/>
      <c r="G17" s="26"/>
      <c r="H17" s="26"/>
      <c r="I17" s="27" t="s">
        <v>71</v>
      </c>
      <c r="J17" s="14">
        <v>2.7818999999999998</v>
      </c>
      <c r="K17" s="17"/>
    </row>
    <row r="18" spans="6:11" x14ac:dyDescent="0.3">
      <c r="I18" s="13"/>
      <c r="J18" s="2"/>
      <c r="K18" s="13"/>
    </row>
    <row r="19" spans="6:11" x14ac:dyDescent="0.3">
      <c r="F19" s="28"/>
      <c r="G19" s="28"/>
      <c r="H19" s="28"/>
      <c r="I19" s="18" t="s">
        <v>72</v>
      </c>
      <c r="J19" s="19">
        <f>J15/9.81</f>
        <v>250.65239551478084</v>
      </c>
      <c r="K19" s="20" t="s">
        <v>73</v>
      </c>
    </row>
    <row r="20" spans="6:11" x14ac:dyDescent="0.3">
      <c r="F20" s="28"/>
      <c r="G20" s="28"/>
      <c r="H20" s="28"/>
      <c r="I20" s="18" t="s">
        <v>74</v>
      </c>
      <c r="J20" s="19">
        <f>J11/J15</f>
        <v>2.0334295823335635</v>
      </c>
      <c r="K20" s="20" t="s">
        <v>75</v>
      </c>
    </row>
    <row r="21" spans="6:11" x14ac:dyDescent="0.3">
      <c r="F21" s="28"/>
      <c r="G21" s="28"/>
      <c r="H21" s="28"/>
      <c r="I21" s="18" t="s">
        <v>76</v>
      </c>
      <c r="J21" s="19">
        <f>J20/(1+J13)</f>
        <v>0.46214308689399169</v>
      </c>
      <c r="K21" s="20" t="s">
        <v>75</v>
      </c>
    </row>
    <row r="22" spans="6:11" x14ac:dyDescent="0.3">
      <c r="F22" s="28"/>
      <c r="G22" s="28"/>
      <c r="H22" s="28"/>
      <c r="I22" s="18" t="s">
        <v>77</v>
      </c>
      <c r="J22" s="19">
        <f>J20-J21</f>
        <v>1.5712864954395718</v>
      </c>
      <c r="K22" s="20" t="s">
        <v>75</v>
      </c>
    </row>
    <row r="23" spans="6:11" x14ac:dyDescent="0.3">
      <c r="F23" s="28"/>
      <c r="G23" s="28"/>
      <c r="H23" s="28"/>
      <c r="I23" s="18"/>
      <c r="J23" s="19"/>
      <c r="K23" s="20"/>
    </row>
    <row r="24" spans="6:11" x14ac:dyDescent="0.3">
      <c r="F24" s="28"/>
      <c r="G24" s="28"/>
      <c r="H24" s="28"/>
      <c r="I24" s="18" t="s">
        <v>78</v>
      </c>
      <c r="J24" s="19">
        <f>J12*J20/J16</f>
        <v>1309.918133347797</v>
      </c>
      <c r="K24" s="20" t="s">
        <v>79</v>
      </c>
    </row>
    <row r="25" spans="6:11" x14ac:dyDescent="0.3">
      <c r="F25" s="28"/>
      <c r="G25" s="28"/>
      <c r="H25" s="28"/>
      <c r="I25" s="18" t="s">
        <v>80</v>
      </c>
      <c r="J25" s="19">
        <f>(J24/3.14)^0.5*2</f>
        <v>40.849547368217877</v>
      </c>
      <c r="K25" s="20" t="s">
        <v>81</v>
      </c>
    </row>
    <row r="26" spans="6:11" x14ac:dyDescent="0.3">
      <c r="F26" s="28"/>
      <c r="G26" s="28"/>
      <c r="H26" s="28"/>
      <c r="I26" s="20"/>
      <c r="J26" s="21">
        <f>J25*1000</f>
        <v>40849.547368217878</v>
      </c>
      <c r="K26" s="20" t="s">
        <v>82</v>
      </c>
    </row>
    <row r="27" spans="6:11" x14ac:dyDescent="0.3">
      <c r="F27" s="28"/>
      <c r="G27" s="28"/>
      <c r="H27" s="28"/>
      <c r="I27" s="20"/>
      <c r="J27" s="19"/>
      <c r="K27" s="20"/>
    </row>
    <row r="28" spans="6:11" x14ac:dyDescent="0.3">
      <c r="F28" s="28"/>
      <c r="G28" s="28"/>
      <c r="H28" s="28"/>
      <c r="I28" s="18" t="s">
        <v>83</v>
      </c>
      <c r="J28" s="19">
        <f>J24*J17</f>
        <v>3644.0612551602362</v>
      </c>
      <c r="K28" s="20" t="s">
        <v>79</v>
      </c>
    </row>
    <row r="29" spans="6:11" x14ac:dyDescent="0.3">
      <c r="F29" s="28"/>
      <c r="G29" s="28"/>
      <c r="H29" s="28"/>
      <c r="I29" s="18" t="s">
        <v>84</v>
      </c>
      <c r="J29" s="19">
        <f>(J28/3.14)^0.5*2</f>
        <v>68.1330774925936</v>
      </c>
      <c r="K29" s="20" t="s">
        <v>81</v>
      </c>
    </row>
    <row r="30" spans="6:11" x14ac:dyDescent="0.3">
      <c r="F30" s="28"/>
      <c r="G30" s="28"/>
      <c r="H30" s="28"/>
      <c r="I30" s="20"/>
      <c r="J30" s="21">
        <f>J29*1000</f>
        <v>68133.077492593598</v>
      </c>
      <c r="K30" s="20" t="s">
        <v>82</v>
      </c>
    </row>
    <row r="31" spans="6:11" x14ac:dyDescent="0.3">
      <c r="F31" s="28" t="s">
        <v>85</v>
      </c>
      <c r="G31" s="28"/>
      <c r="H31" s="28"/>
      <c r="I31" s="22" t="s">
        <v>86</v>
      </c>
      <c r="J31" s="23">
        <v>4</v>
      </c>
      <c r="K31" s="23"/>
    </row>
    <row r="32" spans="6:11" x14ac:dyDescent="0.3">
      <c r="F32" s="28"/>
      <c r="G32" s="28"/>
      <c r="H32" s="28"/>
      <c r="I32" s="22" t="s">
        <v>87</v>
      </c>
      <c r="J32" s="23">
        <f>4*J24</f>
        <v>5239.6725333911882</v>
      </c>
      <c r="K32" s="23" t="s">
        <v>79</v>
      </c>
    </row>
    <row r="33" spans="6:11" x14ac:dyDescent="0.3">
      <c r="F33" s="28"/>
      <c r="G33" s="28"/>
      <c r="H33" s="28"/>
      <c r="I33" s="22" t="s">
        <v>88</v>
      </c>
      <c r="J33" s="23">
        <f>2*SQRT(J32/3.14)</f>
        <v>81.699094736435754</v>
      </c>
      <c r="K33" s="23" t="s">
        <v>81</v>
      </c>
    </row>
    <row r="34" spans="6:11" x14ac:dyDescent="0.3">
      <c r="F34" s="28"/>
      <c r="G34" s="28"/>
      <c r="H34" s="28"/>
      <c r="I34" s="22"/>
      <c r="J34" s="24">
        <f>J33*1000</f>
        <v>81699.094736435756</v>
      </c>
      <c r="K34" s="23" t="s">
        <v>82</v>
      </c>
    </row>
    <row r="35" spans="6:11" x14ac:dyDescent="0.3">
      <c r="F35" s="28"/>
      <c r="G35" s="28"/>
      <c r="H35" s="28"/>
      <c r="I35" s="22" t="s">
        <v>89</v>
      </c>
      <c r="J35" s="23">
        <v>0.5</v>
      </c>
      <c r="K35" s="23"/>
    </row>
    <row r="36" spans="6:11" x14ac:dyDescent="0.3">
      <c r="F36" s="28"/>
      <c r="G36" s="28"/>
      <c r="H36" s="28"/>
      <c r="I36" s="22" t="s">
        <v>90</v>
      </c>
      <c r="J36" s="23">
        <f>(J35*J24)/J32</f>
        <v>0.125</v>
      </c>
      <c r="K36" s="23" t="s">
        <v>81</v>
      </c>
    </row>
    <row r="37" spans="6:11" x14ac:dyDescent="0.3">
      <c r="F37" s="28"/>
      <c r="G37" s="28"/>
      <c r="H37" s="28"/>
      <c r="I37" s="22"/>
      <c r="J37" s="24">
        <f>J36*1000</f>
        <v>125</v>
      </c>
      <c r="K37" s="23" t="s">
        <v>82</v>
      </c>
    </row>
    <row r="38" spans="6:11" x14ac:dyDescent="0.3">
      <c r="F38" s="28"/>
      <c r="G38" s="28"/>
      <c r="H38" s="28"/>
      <c r="I38" s="23"/>
      <c r="J38" s="23"/>
      <c r="K38" s="23"/>
    </row>
    <row r="39" spans="6:11" x14ac:dyDescent="0.3">
      <c r="F39" s="28"/>
      <c r="G39" s="28"/>
      <c r="H39" s="28"/>
      <c r="I39" s="23"/>
      <c r="J39" s="23"/>
      <c r="K39" s="23"/>
    </row>
    <row r="40" spans="6:11" x14ac:dyDescent="0.3">
      <c r="F40" s="28"/>
      <c r="G40" s="28"/>
      <c r="H40" s="28"/>
      <c r="I40" s="23"/>
      <c r="J40" s="23"/>
      <c r="K4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9EDD-DCAE-45FA-BD7D-5606A6AB6833}">
  <dimension ref="A3:K18"/>
  <sheetViews>
    <sheetView workbookViewId="0">
      <selection activeCell="H17" sqref="H17"/>
    </sheetView>
  </sheetViews>
  <sheetFormatPr defaultRowHeight="14.4" x14ac:dyDescent="0.3"/>
  <cols>
    <col min="1" max="1" width="10.88671875" bestFit="1" customWidth="1"/>
    <col min="2" max="2" width="13.6640625" bestFit="1" customWidth="1"/>
    <col min="3" max="3" width="13.21875" bestFit="1" customWidth="1"/>
    <col min="10" max="10" width="12" bestFit="1" customWidth="1"/>
  </cols>
  <sheetData>
    <row r="3" spans="1:11" x14ac:dyDescent="0.3">
      <c r="A3" s="2" t="s">
        <v>15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I3" s="6" t="s">
        <v>18</v>
      </c>
      <c r="J3" s="6" t="s">
        <v>55</v>
      </c>
      <c r="K3" s="6" t="s">
        <v>54</v>
      </c>
    </row>
    <row r="4" spans="1:11" x14ac:dyDescent="0.3">
      <c r="A4" t="s">
        <v>16</v>
      </c>
      <c r="B4" s="5">
        <v>10</v>
      </c>
      <c r="C4" s="5">
        <f t="shared" ref="C4:C18" si="0">B4/10</f>
        <v>1</v>
      </c>
      <c r="D4" s="5">
        <v>3416.7</v>
      </c>
      <c r="E4" s="5">
        <v>0</v>
      </c>
      <c r="F4">
        <f>E4/9.81</f>
        <v>0</v>
      </c>
      <c r="I4">
        <v>3.2</v>
      </c>
      <c r="J4" s="5">
        <v>3416.7</v>
      </c>
      <c r="K4">
        <v>243.8716</v>
      </c>
    </row>
    <row r="5" spans="1:11" x14ac:dyDescent="0.3">
      <c r="A5" t="s">
        <v>2</v>
      </c>
      <c r="B5" s="5">
        <v>5.8032000000000004</v>
      </c>
      <c r="C5" s="5">
        <f t="shared" si="0"/>
        <v>0.58032000000000006</v>
      </c>
      <c r="D5" s="5">
        <v>3268.8</v>
      </c>
      <c r="E5" s="5">
        <v>1230.4000000000001</v>
      </c>
      <c r="F5">
        <f t="shared" ref="F5:F18" si="1">E5/9.81</f>
        <v>125.4230377166157</v>
      </c>
      <c r="I5">
        <f>I4+0.2</f>
        <v>3.4000000000000004</v>
      </c>
      <c r="J5" s="5">
        <v>3422.7</v>
      </c>
      <c r="K5">
        <v>243.12950000000001</v>
      </c>
    </row>
    <row r="6" spans="1:11" x14ac:dyDescent="0.3">
      <c r="A6" t="s">
        <v>17</v>
      </c>
      <c r="B6" s="5">
        <v>1.0129999999999999</v>
      </c>
      <c r="C6" s="5">
        <f t="shared" si="0"/>
        <v>0.10129999999999999</v>
      </c>
      <c r="D6" s="5">
        <v>2851</v>
      </c>
      <c r="E6" s="5">
        <v>2412</v>
      </c>
      <c r="F6">
        <f>E6/9.81</f>
        <v>245.87155963302752</v>
      </c>
      <c r="I6">
        <f t="shared" ref="I6:I8" si="2">I5+0.2</f>
        <v>3.6000000000000005</v>
      </c>
      <c r="J6" s="5">
        <v>3422.5</v>
      </c>
      <c r="K6">
        <v>240.39760000000001</v>
      </c>
    </row>
    <row r="7" spans="1:11" x14ac:dyDescent="0.3">
      <c r="A7" t="s">
        <v>16</v>
      </c>
      <c r="B7" s="5">
        <v>10</v>
      </c>
      <c r="C7" s="5">
        <f t="shared" si="0"/>
        <v>1</v>
      </c>
      <c r="D7" s="5">
        <v>3422.7</v>
      </c>
      <c r="E7" s="5">
        <v>0</v>
      </c>
      <c r="F7">
        <f t="shared" si="1"/>
        <v>0</v>
      </c>
      <c r="I7">
        <f t="shared" si="2"/>
        <v>3.8000000000000007</v>
      </c>
      <c r="J7" s="5">
        <v>3418</v>
      </c>
      <c r="K7">
        <v>237.74719999999999</v>
      </c>
    </row>
    <row r="8" spans="1:11" x14ac:dyDescent="0.3">
      <c r="A8" t="s">
        <v>2</v>
      </c>
      <c r="B8" s="5">
        <v>5.8066000000000004</v>
      </c>
      <c r="C8" s="5">
        <f t="shared" si="0"/>
        <v>0.58066000000000006</v>
      </c>
      <c r="D8" s="5">
        <v>3277.2</v>
      </c>
      <c r="E8" s="5">
        <v>1215.2</v>
      </c>
      <c r="F8">
        <f t="shared" si="1"/>
        <v>123.87359836901121</v>
      </c>
      <c r="I8">
        <f t="shared" si="2"/>
        <v>4.0000000000000009</v>
      </c>
      <c r="J8" s="5">
        <v>3410.4</v>
      </c>
      <c r="K8">
        <v>235.17840000000001</v>
      </c>
    </row>
    <row r="9" spans="1:11" x14ac:dyDescent="0.3">
      <c r="A9" t="s">
        <v>17</v>
      </c>
      <c r="B9" s="5">
        <v>1.0129999999999999</v>
      </c>
      <c r="C9" s="5">
        <f t="shared" si="0"/>
        <v>0.10129999999999999</v>
      </c>
      <c r="D9" s="5">
        <v>2870.6</v>
      </c>
      <c r="E9" s="5">
        <v>2385.1</v>
      </c>
      <c r="F9">
        <f>E9/9.81</f>
        <v>243.12945973496431</v>
      </c>
    </row>
    <row r="10" spans="1:11" x14ac:dyDescent="0.3">
      <c r="A10" t="s">
        <v>16</v>
      </c>
      <c r="B10" s="5">
        <v>10</v>
      </c>
      <c r="C10" s="5">
        <f t="shared" si="0"/>
        <v>1</v>
      </c>
      <c r="D10" s="5">
        <v>3422.5</v>
      </c>
      <c r="E10" s="5">
        <v>0</v>
      </c>
      <c r="F10">
        <f t="shared" si="1"/>
        <v>0</v>
      </c>
    </row>
    <row r="11" spans="1:11" x14ac:dyDescent="0.3">
      <c r="A11" t="s">
        <v>2</v>
      </c>
      <c r="B11" s="5">
        <v>5.8089000000000004</v>
      </c>
      <c r="C11" s="5">
        <f t="shared" si="0"/>
        <v>0.58089000000000002</v>
      </c>
      <c r="D11" s="5">
        <v>3278.7</v>
      </c>
      <c r="E11" s="5">
        <v>1200.7</v>
      </c>
      <c r="F11">
        <f t="shared" si="1"/>
        <v>122.39551478083588</v>
      </c>
    </row>
    <row r="12" spans="1:11" x14ac:dyDescent="0.3">
      <c r="A12" t="s">
        <v>17</v>
      </c>
      <c r="B12" s="5">
        <v>1.0129999999999999</v>
      </c>
      <c r="C12" s="5">
        <f t="shared" si="0"/>
        <v>0.10129999999999999</v>
      </c>
      <c r="D12" s="5">
        <v>2878.6</v>
      </c>
      <c r="E12" s="5">
        <v>2358.3000000000002</v>
      </c>
      <c r="F12">
        <f t="shared" si="1"/>
        <v>240.39755351681958</v>
      </c>
    </row>
    <row r="13" spans="1:11" x14ac:dyDescent="0.3">
      <c r="A13" t="s">
        <v>16</v>
      </c>
      <c r="B13" s="5">
        <v>10</v>
      </c>
      <c r="C13" s="5">
        <f t="shared" si="0"/>
        <v>1</v>
      </c>
      <c r="D13" s="5">
        <v>3418</v>
      </c>
      <c r="E13" s="5">
        <v>0</v>
      </c>
      <c r="F13">
        <f t="shared" si="1"/>
        <v>0</v>
      </c>
    </row>
    <row r="14" spans="1:11" x14ac:dyDescent="0.3">
      <c r="A14" t="s">
        <v>2</v>
      </c>
      <c r="B14" s="5">
        <v>5.8102999999999998</v>
      </c>
      <c r="C14" s="5">
        <f t="shared" si="0"/>
        <v>0.58102999999999994</v>
      </c>
      <c r="D14" s="5">
        <v>3275.4</v>
      </c>
      <c r="E14" s="5">
        <v>1186.9000000000001</v>
      </c>
      <c r="F14">
        <f t="shared" si="1"/>
        <v>120.98878695208971</v>
      </c>
    </row>
    <row r="15" spans="1:11" x14ac:dyDescent="0.3">
      <c r="A15" t="s">
        <v>17</v>
      </c>
      <c r="B15" s="5">
        <v>1.0129999999999999</v>
      </c>
      <c r="C15" s="5">
        <f t="shared" si="0"/>
        <v>0.10129999999999999</v>
      </c>
      <c r="D15" s="5">
        <v>2879.1</v>
      </c>
      <c r="E15" s="5">
        <v>2332.3000000000002</v>
      </c>
      <c r="F15">
        <f t="shared" si="1"/>
        <v>237.74719673802244</v>
      </c>
    </row>
    <row r="16" spans="1:11" x14ac:dyDescent="0.3">
      <c r="A16" t="s">
        <v>16</v>
      </c>
      <c r="B16" s="5">
        <v>10</v>
      </c>
      <c r="C16" s="5">
        <f t="shared" si="0"/>
        <v>1</v>
      </c>
      <c r="D16" s="5">
        <v>3410.4</v>
      </c>
      <c r="E16" s="5">
        <v>0</v>
      </c>
      <c r="F16">
        <f t="shared" si="1"/>
        <v>0</v>
      </c>
    </row>
    <row r="17" spans="1:6" x14ac:dyDescent="0.3">
      <c r="A17" t="s">
        <v>2</v>
      </c>
      <c r="B17" s="5">
        <v>5.8113000000000001</v>
      </c>
      <c r="C17" s="5">
        <f t="shared" si="0"/>
        <v>0.58113000000000004</v>
      </c>
      <c r="D17" s="5">
        <v>3268.7</v>
      </c>
      <c r="E17" s="5">
        <v>1173.7</v>
      </c>
      <c r="F17">
        <f t="shared" si="1"/>
        <v>119.64322120285424</v>
      </c>
    </row>
    <row r="18" spans="1:6" x14ac:dyDescent="0.3">
      <c r="A18" t="s">
        <v>17</v>
      </c>
      <c r="B18" s="5">
        <v>1.0129999999999999</v>
      </c>
      <c r="C18" s="5">
        <f t="shared" si="0"/>
        <v>0.10129999999999999</v>
      </c>
      <c r="D18" s="5">
        <v>2874.6</v>
      </c>
      <c r="E18" s="5">
        <v>2307.1</v>
      </c>
      <c r="F18">
        <f t="shared" si="1"/>
        <v>235.17838939857288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4224-7992-4F8C-8FAE-CA278E4AF2AF}">
  <dimension ref="A3:J18"/>
  <sheetViews>
    <sheetView workbookViewId="0">
      <selection activeCell="I3" sqref="I3:I8"/>
    </sheetView>
  </sheetViews>
  <sheetFormatPr defaultRowHeight="14.4" x14ac:dyDescent="0.3"/>
  <cols>
    <col min="1" max="1" width="11.88671875" bestFit="1" customWidth="1"/>
    <col min="2" max="2" width="12.44140625" bestFit="1" customWidth="1"/>
    <col min="9" max="9" width="13.33203125" bestFit="1" customWidth="1"/>
    <col min="10" max="10" width="10.77734375" bestFit="1" customWidth="1"/>
  </cols>
  <sheetData>
    <row r="3" spans="1:10" x14ac:dyDescent="0.3">
      <c r="A3" s="6" t="s">
        <v>20</v>
      </c>
      <c r="B3" s="6" t="s">
        <v>21</v>
      </c>
      <c r="C3" s="2" t="s">
        <v>19</v>
      </c>
      <c r="D3" s="6" t="s">
        <v>22</v>
      </c>
      <c r="E3" s="6" t="s">
        <v>23</v>
      </c>
      <c r="H3" s="2" t="s">
        <v>18</v>
      </c>
      <c r="I3" s="2" t="s">
        <v>56</v>
      </c>
      <c r="J3" s="2" t="s">
        <v>53</v>
      </c>
    </row>
    <row r="4" spans="1:10" x14ac:dyDescent="0.3">
      <c r="A4" s="5">
        <v>11</v>
      </c>
      <c r="B4" s="5">
        <f t="shared" ref="B4:B18" si="0">A4/10</f>
        <v>1.1000000000000001</v>
      </c>
      <c r="C4" s="5">
        <v>3430.5</v>
      </c>
      <c r="D4" s="5">
        <v>0</v>
      </c>
      <c r="E4">
        <f t="shared" ref="E4:E18" si="1">D4/9.81</f>
        <v>0</v>
      </c>
      <c r="H4">
        <v>3.2</v>
      </c>
      <c r="I4" s="5">
        <v>3430.5</v>
      </c>
      <c r="J4">
        <v>250.63200000000001</v>
      </c>
    </row>
    <row r="5" spans="1:10" x14ac:dyDescent="0.3">
      <c r="A5" s="5">
        <v>6.3825000000000003</v>
      </c>
      <c r="B5" s="5">
        <f t="shared" si="0"/>
        <v>0.63824999999999998</v>
      </c>
      <c r="C5" s="5">
        <v>3281.1</v>
      </c>
      <c r="D5" s="5">
        <v>1232.2</v>
      </c>
      <c r="E5">
        <f t="shared" si="1"/>
        <v>125.60652395514781</v>
      </c>
      <c r="H5">
        <f>H4+0.2</f>
        <v>3.4000000000000004</v>
      </c>
      <c r="I5" s="5">
        <v>3436.7</v>
      </c>
      <c r="J5">
        <v>247.84909999999999</v>
      </c>
    </row>
    <row r="6" spans="1:10" x14ac:dyDescent="0.3">
      <c r="A6" s="5">
        <v>1.0129999999999999</v>
      </c>
      <c r="B6" s="5">
        <f t="shared" si="0"/>
        <v>0.10129999999999999</v>
      </c>
      <c r="C6" s="5">
        <v>2838.2</v>
      </c>
      <c r="D6" s="5">
        <v>2458.6999999999998</v>
      </c>
      <c r="E6">
        <f t="shared" si="1"/>
        <v>250.63200815494389</v>
      </c>
      <c r="H6">
        <f t="shared" ref="H6:H7" si="2">H5+0.2</f>
        <v>3.6000000000000005</v>
      </c>
      <c r="I6" s="5">
        <v>3436.5</v>
      </c>
      <c r="J6">
        <v>245.07650000000001</v>
      </c>
    </row>
    <row r="7" spans="1:10" x14ac:dyDescent="0.3">
      <c r="A7" s="5">
        <v>11</v>
      </c>
      <c r="B7" s="5">
        <f t="shared" si="0"/>
        <v>1.1000000000000001</v>
      </c>
      <c r="C7" s="5">
        <v>3436.7</v>
      </c>
      <c r="D7" s="5">
        <v>0</v>
      </c>
      <c r="E7">
        <f t="shared" si="1"/>
        <v>0</v>
      </c>
      <c r="H7">
        <f t="shared" si="2"/>
        <v>3.8000000000000007</v>
      </c>
      <c r="I7" s="5">
        <v>3432</v>
      </c>
      <c r="J7">
        <v>242.3751</v>
      </c>
    </row>
    <row r="8" spans="1:10" x14ac:dyDescent="0.3">
      <c r="A8" s="5">
        <v>6.3863000000000003</v>
      </c>
      <c r="B8" s="5">
        <f t="shared" si="0"/>
        <v>0.63863000000000003</v>
      </c>
      <c r="C8" s="5">
        <v>3289.8</v>
      </c>
      <c r="D8" s="5">
        <v>1217</v>
      </c>
      <c r="E8">
        <f t="shared" si="1"/>
        <v>124.05708460754332</v>
      </c>
      <c r="H8">
        <f>H7+0.2</f>
        <v>4.0000000000000009</v>
      </c>
      <c r="I8" s="5">
        <v>3424.3</v>
      </c>
      <c r="J8">
        <v>239.75540000000001</v>
      </c>
    </row>
    <row r="9" spans="1:10" x14ac:dyDescent="0.3">
      <c r="A9" s="5">
        <v>1.0129999999999999</v>
      </c>
      <c r="B9" s="5">
        <f t="shared" si="0"/>
        <v>0.10129999999999999</v>
      </c>
      <c r="C9" s="5">
        <v>2859.2</v>
      </c>
      <c r="D9" s="5">
        <v>2431.4</v>
      </c>
      <c r="E9">
        <f t="shared" si="1"/>
        <v>247.84913353720694</v>
      </c>
    </row>
    <row r="10" spans="1:10" x14ac:dyDescent="0.3">
      <c r="A10" s="5">
        <v>11</v>
      </c>
      <c r="B10" s="5">
        <f t="shared" si="0"/>
        <v>1.1000000000000001</v>
      </c>
      <c r="C10" s="5">
        <v>3436.5</v>
      </c>
      <c r="D10" s="5">
        <v>0</v>
      </c>
      <c r="E10">
        <f t="shared" si="1"/>
        <v>0</v>
      </c>
    </row>
    <row r="11" spans="1:10" x14ac:dyDescent="0.3">
      <c r="A11" s="5">
        <v>6.3887999999999998</v>
      </c>
      <c r="B11" s="5">
        <f t="shared" si="0"/>
        <v>0.63888</v>
      </c>
      <c r="C11" s="5">
        <v>3291.4</v>
      </c>
      <c r="D11" s="5">
        <v>1202.5</v>
      </c>
      <c r="E11">
        <f t="shared" si="1"/>
        <v>122.57900101936798</v>
      </c>
    </row>
    <row r="12" spans="1:10" x14ac:dyDescent="0.3">
      <c r="A12" s="5">
        <v>1.0129999999999999</v>
      </c>
      <c r="B12" s="5">
        <f t="shared" si="0"/>
        <v>0.10129999999999999</v>
      </c>
      <c r="C12" s="5">
        <v>2867.9</v>
      </c>
      <c r="D12" s="5">
        <v>2404.1999999999998</v>
      </c>
      <c r="E12">
        <f t="shared" si="1"/>
        <v>245.07645259938835</v>
      </c>
    </row>
    <row r="13" spans="1:10" x14ac:dyDescent="0.3">
      <c r="A13" s="5">
        <v>11</v>
      </c>
      <c r="B13" s="5">
        <f t="shared" si="0"/>
        <v>1.1000000000000001</v>
      </c>
      <c r="C13" s="5">
        <v>3432</v>
      </c>
      <c r="D13" s="5">
        <v>0</v>
      </c>
      <c r="E13">
        <f t="shared" si="1"/>
        <v>0</v>
      </c>
    </row>
    <row r="14" spans="1:10" x14ac:dyDescent="0.3">
      <c r="A14" s="5">
        <v>6.3903999999999996</v>
      </c>
      <c r="B14" s="5">
        <f t="shared" si="0"/>
        <v>0.63903999999999994</v>
      </c>
      <c r="C14" s="5">
        <v>3288.1</v>
      </c>
      <c r="D14" s="5">
        <v>1188.5999999999999</v>
      </c>
      <c r="E14">
        <f t="shared" si="1"/>
        <v>121.16207951070335</v>
      </c>
    </row>
    <row r="15" spans="1:10" x14ac:dyDescent="0.3">
      <c r="A15" s="5">
        <v>1.0129999999999999</v>
      </c>
      <c r="B15" s="5">
        <f t="shared" si="0"/>
        <v>0.10129999999999999</v>
      </c>
      <c r="C15" s="5">
        <v>2868.7</v>
      </c>
      <c r="D15" s="5">
        <v>2377.6999999999998</v>
      </c>
      <c r="E15">
        <f t="shared" si="1"/>
        <v>242.37512742099895</v>
      </c>
    </row>
    <row r="16" spans="1:10" x14ac:dyDescent="0.3">
      <c r="A16" s="5">
        <v>11</v>
      </c>
      <c r="B16" s="5">
        <f t="shared" si="0"/>
        <v>1.1000000000000001</v>
      </c>
      <c r="C16" s="5">
        <v>3424.3</v>
      </c>
      <c r="D16" s="5">
        <v>0</v>
      </c>
      <c r="E16">
        <f t="shared" si="1"/>
        <v>0</v>
      </c>
    </row>
    <row r="17" spans="1:5" x14ac:dyDescent="0.3">
      <c r="A17" s="5">
        <v>6.3914999999999997</v>
      </c>
      <c r="B17" s="5">
        <f t="shared" si="0"/>
        <v>0.63915</v>
      </c>
      <c r="C17" s="5">
        <v>3281.2</v>
      </c>
      <c r="D17" s="5">
        <v>1175.4000000000001</v>
      </c>
      <c r="E17">
        <f t="shared" si="1"/>
        <v>119.81651376146789</v>
      </c>
    </row>
    <row r="18" spans="1:5" x14ac:dyDescent="0.3">
      <c r="A18" s="5">
        <v>1.0129999999999999</v>
      </c>
      <c r="B18" s="5">
        <f t="shared" si="0"/>
        <v>0.10129999999999999</v>
      </c>
      <c r="C18" s="5">
        <v>2864.3</v>
      </c>
      <c r="D18" s="5">
        <v>2352</v>
      </c>
      <c r="E18">
        <f t="shared" si="1"/>
        <v>239.75535168195717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D968-183C-42F5-B34F-F173D5E5FBD1}">
  <dimension ref="A1:J17"/>
  <sheetViews>
    <sheetView workbookViewId="0">
      <selection activeCell="I1" sqref="I1:I6"/>
    </sheetView>
  </sheetViews>
  <sheetFormatPr defaultRowHeight="14.4" x14ac:dyDescent="0.3"/>
  <cols>
    <col min="1" max="1" width="12.109375" bestFit="1" customWidth="1"/>
    <col min="2" max="2" width="12.109375" customWidth="1"/>
    <col min="3" max="3" width="12.44140625" bestFit="1" customWidth="1"/>
    <col min="9" max="9" width="13.44140625" bestFit="1" customWidth="1"/>
    <col min="10" max="10" width="10.5546875" bestFit="1" customWidth="1"/>
  </cols>
  <sheetData>
    <row r="1" spans="1:10" s="2" customFormat="1" ht="13.8" customHeight="1" x14ac:dyDescent="0.3">
      <c r="A1" s="6" t="s">
        <v>24</v>
      </c>
      <c r="B1" s="6" t="s">
        <v>25</v>
      </c>
      <c r="C1" s="6" t="s">
        <v>19</v>
      </c>
      <c r="D1" s="6" t="s">
        <v>22</v>
      </c>
      <c r="E1" s="6" t="s">
        <v>26</v>
      </c>
      <c r="H1" s="2" t="s">
        <v>27</v>
      </c>
      <c r="I1" s="2" t="s">
        <v>57</v>
      </c>
      <c r="J1" s="2" t="s">
        <v>52</v>
      </c>
    </row>
    <row r="2" spans="1:10" x14ac:dyDescent="0.3">
      <c r="A2" s="5">
        <v>12</v>
      </c>
      <c r="B2" s="5">
        <f>A2/10</f>
        <v>1.2</v>
      </c>
      <c r="C2" s="5">
        <v>3443.2</v>
      </c>
      <c r="D2" s="5">
        <v>0</v>
      </c>
      <c r="E2">
        <f>D2/9.81</f>
        <v>0</v>
      </c>
      <c r="H2">
        <v>3.2</v>
      </c>
      <c r="I2" s="5">
        <v>3443.2</v>
      </c>
      <c r="J2">
        <v>254.87260000000001</v>
      </c>
    </row>
    <row r="3" spans="1:10" x14ac:dyDescent="0.3">
      <c r="A3" s="5">
        <v>6.9615999999999998</v>
      </c>
      <c r="B3" s="5">
        <f t="shared" ref="B3:B16" si="0">A3/10</f>
        <v>0.69616</v>
      </c>
      <c r="C3" s="5">
        <v>3292.4</v>
      </c>
      <c r="D3" s="5">
        <v>1233.8</v>
      </c>
      <c r="E3">
        <f t="shared" ref="E3:E16" si="1">D3/9.81</f>
        <v>125.769622833843</v>
      </c>
      <c r="H3">
        <f>H2+0.2</f>
        <v>3.4000000000000004</v>
      </c>
      <c r="I3" s="5">
        <v>3449.5</v>
      </c>
      <c r="J3">
        <v>252.0591</v>
      </c>
    </row>
    <row r="4" spans="1:10" x14ac:dyDescent="0.3">
      <c r="A4" s="5">
        <v>1.0129999999999999</v>
      </c>
      <c r="B4" s="5">
        <f t="shared" si="0"/>
        <v>0.10129999999999999</v>
      </c>
      <c r="C4" s="5">
        <v>2826.2</v>
      </c>
      <c r="D4" s="5">
        <v>2500.3000000000002</v>
      </c>
      <c r="E4">
        <f t="shared" si="1"/>
        <v>254.87257900101937</v>
      </c>
      <c r="H4">
        <v>3.6</v>
      </c>
      <c r="I4" s="5">
        <v>3449.4</v>
      </c>
      <c r="J4">
        <v>249.2457</v>
      </c>
    </row>
    <row r="5" spans="1:10" x14ac:dyDescent="0.3">
      <c r="A5" s="5">
        <v>12</v>
      </c>
      <c r="B5" s="5">
        <f t="shared" si="0"/>
        <v>1.2</v>
      </c>
      <c r="C5" s="5">
        <v>3449.5</v>
      </c>
      <c r="D5" s="5">
        <v>0</v>
      </c>
      <c r="E5">
        <f t="shared" si="1"/>
        <v>0</v>
      </c>
      <c r="H5">
        <v>3.8</v>
      </c>
      <c r="I5" s="5">
        <v>3444.9</v>
      </c>
      <c r="J5">
        <v>246.50360000000001</v>
      </c>
    </row>
    <row r="6" spans="1:10" x14ac:dyDescent="0.3">
      <c r="A6" s="5">
        <v>6.9657999999999998</v>
      </c>
      <c r="B6" s="5">
        <f t="shared" si="0"/>
        <v>0.69657999999999998</v>
      </c>
      <c r="C6" s="5">
        <v>3301.3</v>
      </c>
      <c r="D6" s="5">
        <v>1218.5999999999999</v>
      </c>
      <c r="E6">
        <f t="shared" si="1"/>
        <v>124.22018348623851</v>
      </c>
      <c r="H6">
        <v>4</v>
      </c>
      <c r="I6" s="5">
        <v>3437.1</v>
      </c>
      <c r="J6">
        <v>243.84299999999999</v>
      </c>
    </row>
    <row r="7" spans="1:10" x14ac:dyDescent="0.3">
      <c r="A7" s="5">
        <v>1.0129999999999999</v>
      </c>
      <c r="B7" s="5">
        <f t="shared" si="0"/>
        <v>0.10129999999999999</v>
      </c>
      <c r="C7" s="5">
        <v>2848.6</v>
      </c>
      <c r="D7" s="5">
        <v>2472.6999999999998</v>
      </c>
      <c r="E7">
        <f t="shared" si="1"/>
        <v>252.05912334352698</v>
      </c>
    </row>
    <row r="8" spans="1:10" x14ac:dyDescent="0.3">
      <c r="A8" s="5">
        <v>12</v>
      </c>
      <c r="B8" s="5">
        <f t="shared" si="0"/>
        <v>1.2</v>
      </c>
      <c r="C8" s="5">
        <v>3449.4</v>
      </c>
      <c r="D8" s="5">
        <v>0</v>
      </c>
      <c r="E8">
        <f t="shared" si="1"/>
        <v>0</v>
      </c>
    </row>
    <row r="9" spans="1:10" x14ac:dyDescent="0.3">
      <c r="A9" s="5">
        <v>6.9686000000000003</v>
      </c>
      <c r="B9" s="5">
        <f t="shared" si="0"/>
        <v>0.69686000000000003</v>
      </c>
      <c r="C9" s="5">
        <v>3303</v>
      </c>
      <c r="D9" s="5">
        <v>1204.0999999999999</v>
      </c>
      <c r="E9">
        <f t="shared" si="1"/>
        <v>122.74209989806319</v>
      </c>
    </row>
    <row r="10" spans="1:10" x14ac:dyDescent="0.3">
      <c r="A10" s="5">
        <v>1.0129999999999999</v>
      </c>
      <c r="B10" s="5">
        <f t="shared" si="0"/>
        <v>0.10129999999999999</v>
      </c>
      <c r="C10" s="5">
        <v>2858.1</v>
      </c>
      <c r="D10" s="5">
        <v>2445.1</v>
      </c>
      <c r="E10">
        <f t="shared" si="1"/>
        <v>249.24566768603464</v>
      </c>
    </row>
    <row r="11" spans="1:10" x14ac:dyDescent="0.3">
      <c r="A11" s="5">
        <v>12</v>
      </c>
      <c r="B11" s="5">
        <f t="shared" si="0"/>
        <v>1.2</v>
      </c>
      <c r="C11" s="5">
        <v>3444.9</v>
      </c>
      <c r="D11" s="5">
        <v>0</v>
      </c>
      <c r="E11">
        <f t="shared" si="1"/>
        <v>0</v>
      </c>
    </row>
    <row r="12" spans="1:10" x14ac:dyDescent="0.3">
      <c r="A12" s="5">
        <v>6.9703999999999997</v>
      </c>
      <c r="B12" s="5">
        <f t="shared" si="0"/>
        <v>0.69703999999999999</v>
      </c>
      <c r="C12" s="5">
        <v>3299.7</v>
      </c>
      <c r="D12" s="5">
        <v>1190.2</v>
      </c>
      <c r="E12">
        <f t="shared" si="1"/>
        <v>121.32517838939857</v>
      </c>
    </row>
    <row r="13" spans="1:10" x14ac:dyDescent="0.3">
      <c r="A13" s="5">
        <v>1.0129999999999999</v>
      </c>
      <c r="B13" s="5">
        <f t="shared" si="0"/>
        <v>0.10129999999999999</v>
      </c>
      <c r="C13" s="5">
        <v>2859.2</v>
      </c>
      <c r="D13" s="5">
        <v>2418.1999999999998</v>
      </c>
      <c r="E13">
        <f t="shared" si="1"/>
        <v>246.50356778797143</v>
      </c>
    </row>
    <row r="14" spans="1:10" x14ac:dyDescent="0.3">
      <c r="A14" s="5">
        <v>12</v>
      </c>
      <c r="B14" s="5">
        <f t="shared" si="0"/>
        <v>1.2</v>
      </c>
      <c r="C14" s="5">
        <v>3437.1</v>
      </c>
      <c r="D14" s="5">
        <v>0</v>
      </c>
      <c r="E14">
        <f t="shared" si="1"/>
        <v>0</v>
      </c>
    </row>
    <row r="15" spans="1:10" x14ac:dyDescent="0.3">
      <c r="A15" s="5">
        <v>6.9715999999999996</v>
      </c>
      <c r="B15" s="5">
        <f t="shared" si="0"/>
        <v>0.69716</v>
      </c>
      <c r="C15" s="5">
        <v>3292.8</v>
      </c>
      <c r="D15" s="5">
        <v>1177</v>
      </c>
      <c r="E15">
        <f t="shared" si="1"/>
        <v>119.9796126401631</v>
      </c>
    </row>
    <row r="16" spans="1:10" x14ac:dyDescent="0.3">
      <c r="A16" s="5">
        <v>1.0129999999999999</v>
      </c>
      <c r="B16" s="5">
        <f t="shared" si="0"/>
        <v>0.10129999999999999</v>
      </c>
      <c r="C16" s="5">
        <v>2854.9</v>
      </c>
      <c r="D16" s="5">
        <v>2392.1</v>
      </c>
      <c r="E16">
        <f t="shared" si="1"/>
        <v>243.84301732925584</v>
      </c>
    </row>
    <row r="17" spans="1:4" x14ac:dyDescent="0.3">
      <c r="A17" s="5"/>
      <c r="B17" s="5"/>
      <c r="C17" s="5"/>
      <c r="D17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05EA-F398-42C4-94B9-D32A8D5AD1C1}">
  <dimension ref="A1:K17"/>
  <sheetViews>
    <sheetView workbookViewId="0">
      <selection activeCell="J1" sqref="J1:J6"/>
    </sheetView>
  </sheetViews>
  <sheetFormatPr defaultRowHeight="14.4" x14ac:dyDescent="0.3"/>
  <cols>
    <col min="1" max="1" width="12.109375" bestFit="1" customWidth="1"/>
    <col min="2" max="2" width="12.109375" customWidth="1"/>
    <col min="10" max="10" width="13.33203125" bestFit="1" customWidth="1"/>
    <col min="11" max="11" width="10.5546875" bestFit="1" customWidth="1"/>
  </cols>
  <sheetData>
    <row r="1" spans="1:11" s="2" customFormat="1" x14ac:dyDescent="0.3">
      <c r="A1" s="6" t="s">
        <v>24</v>
      </c>
      <c r="B1" s="6" t="s">
        <v>29</v>
      </c>
      <c r="C1" s="6" t="s">
        <v>28</v>
      </c>
      <c r="D1" s="6" t="s">
        <v>22</v>
      </c>
      <c r="E1" s="6" t="s">
        <v>26</v>
      </c>
      <c r="I1" s="2" t="s">
        <v>27</v>
      </c>
      <c r="J1" s="2" t="s">
        <v>58</v>
      </c>
      <c r="K1" s="2" t="s">
        <v>51</v>
      </c>
    </row>
    <row r="2" spans="1:11" x14ac:dyDescent="0.3">
      <c r="A2" s="5">
        <v>13</v>
      </c>
      <c r="B2" s="5">
        <f>A2/10</f>
        <v>1.3</v>
      </c>
      <c r="C2" s="5">
        <v>3454.9</v>
      </c>
      <c r="D2" s="5">
        <v>0</v>
      </c>
      <c r="E2">
        <f>D2/9.81</f>
        <v>0</v>
      </c>
      <c r="I2">
        <v>3.2</v>
      </c>
      <c r="J2" s="5">
        <v>3454.9</v>
      </c>
      <c r="K2">
        <v>258.685</v>
      </c>
    </row>
    <row r="3" spans="1:11" x14ac:dyDescent="0.3">
      <c r="A3" s="5">
        <v>7.5407000000000002</v>
      </c>
      <c r="B3" s="5">
        <f t="shared" ref="B3:B16" si="0">A3/10</f>
        <v>0.75407000000000002</v>
      </c>
      <c r="C3" s="5">
        <v>3302.8</v>
      </c>
      <c r="D3" s="5">
        <v>1235.3</v>
      </c>
      <c r="E3">
        <f t="shared" ref="E3:E16" si="1">D3/9.81</f>
        <v>125.92252803261977</v>
      </c>
      <c r="I3">
        <v>3.4</v>
      </c>
      <c r="J3" s="5">
        <v>3461.3</v>
      </c>
      <c r="K3">
        <v>255.85120000000001</v>
      </c>
    </row>
    <row r="4" spans="1:11" x14ac:dyDescent="0.3">
      <c r="A4" s="5">
        <v>1.0129999999999999</v>
      </c>
      <c r="B4" s="5">
        <f t="shared" si="0"/>
        <v>0.10129999999999999</v>
      </c>
      <c r="C4" s="5">
        <v>2814.9</v>
      </c>
      <c r="D4" s="5">
        <v>2537.6999999999998</v>
      </c>
      <c r="E4">
        <f t="shared" si="1"/>
        <v>258.68501529051986</v>
      </c>
      <c r="I4">
        <v>3.6</v>
      </c>
      <c r="J4" s="5">
        <v>3461.3</v>
      </c>
      <c r="K4">
        <v>253.00710000000001</v>
      </c>
    </row>
    <row r="5" spans="1:11" x14ac:dyDescent="0.3">
      <c r="A5" s="5">
        <v>13</v>
      </c>
      <c r="B5" s="5">
        <f t="shared" si="0"/>
        <v>1.3</v>
      </c>
      <c r="C5" s="5">
        <v>3461.3</v>
      </c>
      <c r="D5" s="5">
        <v>0</v>
      </c>
      <c r="E5">
        <f t="shared" si="1"/>
        <v>0</v>
      </c>
      <c r="I5">
        <v>3.8</v>
      </c>
      <c r="J5" s="5">
        <v>3456.7</v>
      </c>
      <c r="K5">
        <v>250.2243</v>
      </c>
    </row>
    <row r="6" spans="1:11" x14ac:dyDescent="0.3">
      <c r="A6" s="5">
        <v>7.5453000000000001</v>
      </c>
      <c r="B6" s="5">
        <f t="shared" si="0"/>
        <v>0.75453000000000003</v>
      </c>
      <c r="C6" s="5">
        <v>3311.9</v>
      </c>
      <c r="D6" s="5">
        <v>1220.0999999999999</v>
      </c>
      <c r="E6">
        <f t="shared" si="1"/>
        <v>124.37308868501528</v>
      </c>
      <c r="I6">
        <v>4</v>
      </c>
      <c r="J6" s="5">
        <v>3448.9</v>
      </c>
      <c r="K6">
        <v>247.53309999999999</v>
      </c>
    </row>
    <row r="7" spans="1:11" x14ac:dyDescent="0.3">
      <c r="A7" s="5">
        <v>1.0129999999999999</v>
      </c>
      <c r="B7" s="5">
        <f t="shared" si="0"/>
        <v>0.10129999999999999</v>
      </c>
      <c r="C7" s="5">
        <v>2838.7</v>
      </c>
      <c r="D7" s="5">
        <v>2509.9</v>
      </c>
      <c r="E7">
        <f t="shared" si="1"/>
        <v>255.85117227319063</v>
      </c>
    </row>
    <row r="8" spans="1:11" x14ac:dyDescent="0.3">
      <c r="A8" s="5">
        <v>13</v>
      </c>
      <c r="B8" s="5">
        <f t="shared" si="0"/>
        <v>1.3</v>
      </c>
      <c r="C8" s="5">
        <v>3461.3</v>
      </c>
      <c r="D8" s="5">
        <v>0</v>
      </c>
      <c r="E8">
        <f t="shared" si="1"/>
        <v>0</v>
      </c>
    </row>
    <row r="9" spans="1:11" x14ac:dyDescent="0.3">
      <c r="A9" s="5">
        <v>7.5483000000000002</v>
      </c>
      <c r="B9" s="5">
        <f t="shared" si="0"/>
        <v>0.75483</v>
      </c>
      <c r="C9" s="5">
        <v>3313.7</v>
      </c>
      <c r="D9" s="5">
        <v>1205.5999999999999</v>
      </c>
      <c r="E9">
        <f t="shared" si="1"/>
        <v>122.89500509683994</v>
      </c>
    </row>
    <row r="10" spans="1:11" x14ac:dyDescent="0.3">
      <c r="A10" s="5">
        <v>1.0129999999999999</v>
      </c>
      <c r="B10" s="5">
        <f t="shared" si="0"/>
        <v>0.10129999999999999</v>
      </c>
      <c r="C10" s="5">
        <v>2848.9</v>
      </c>
      <c r="D10" s="5">
        <v>2482</v>
      </c>
      <c r="E10">
        <f t="shared" si="1"/>
        <v>253.0071355759429</v>
      </c>
    </row>
    <row r="11" spans="1:11" x14ac:dyDescent="0.3">
      <c r="A11" s="5">
        <v>13</v>
      </c>
      <c r="B11" s="5">
        <f t="shared" si="0"/>
        <v>1.3</v>
      </c>
      <c r="C11" s="5">
        <v>3456.7</v>
      </c>
      <c r="D11" s="5">
        <v>0</v>
      </c>
      <c r="E11">
        <f t="shared" si="1"/>
        <v>0</v>
      </c>
    </row>
    <row r="12" spans="1:11" x14ac:dyDescent="0.3">
      <c r="A12" s="5">
        <v>7.5503</v>
      </c>
      <c r="B12" s="5">
        <f t="shared" si="0"/>
        <v>0.75502999999999998</v>
      </c>
      <c r="C12" s="5">
        <v>3310.3</v>
      </c>
      <c r="D12" s="5">
        <v>1191.7</v>
      </c>
      <c r="E12">
        <f t="shared" si="1"/>
        <v>121.47808358817532</v>
      </c>
    </row>
    <row r="13" spans="1:11" x14ac:dyDescent="0.3">
      <c r="A13" s="5">
        <v>1.0129999999999999</v>
      </c>
      <c r="B13" s="5">
        <f t="shared" si="0"/>
        <v>0.10129999999999999</v>
      </c>
      <c r="C13" s="5">
        <v>2850.4</v>
      </c>
      <c r="D13" s="5">
        <v>2454.6999999999998</v>
      </c>
      <c r="E13">
        <f t="shared" si="1"/>
        <v>250.22426095820589</v>
      </c>
    </row>
    <row r="14" spans="1:11" x14ac:dyDescent="0.3">
      <c r="A14" s="5">
        <v>13</v>
      </c>
      <c r="B14" s="5">
        <f t="shared" si="0"/>
        <v>1.3</v>
      </c>
      <c r="C14" s="5">
        <v>3448.9</v>
      </c>
      <c r="D14" s="5">
        <v>0</v>
      </c>
      <c r="E14">
        <f t="shared" si="1"/>
        <v>0</v>
      </c>
    </row>
    <row r="15" spans="1:11" x14ac:dyDescent="0.3">
      <c r="A15" s="5">
        <v>7.5515999999999996</v>
      </c>
      <c r="B15" s="5">
        <f t="shared" si="0"/>
        <v>0.75515999999999994</v>
      </c>
      <c r="C15" s="5">
        <v>3303.4</v>
      </c>
      <c r="D15" s="5">
        <v>1178.4000000000001</v>
      </c>
      <c r="E15">
        <f t="shared" si="1"/>
        <v>120.1223241590214</v>
      </c>
    </row>
    <row r="16" spans="1:11" x14ac:dyDescent="0.3">
      <c r="A16" s="5">
        <v>1.0129999999999999</v>
      </c>
      <c r="B16" s="5">
        <f t="shared" si="0"/>
        <v>0.10129999999999999</v>
      </c>
      <c r="C16" s="5">
        <v>2846.1</v>
      </c>
      <c r="D16" s="5">
        <v>2428.3000000000002</v>
      </c>
      <c r="E16">
        <f t="shared" si="1"/>
        <v>247.53312945973497</v>
      </c>
    </row>
    <row r="17" spans="1:4" x14ac:dyDescent="0.3">
      <c r="A17" s="5"/>
      <c r="B17" s="5"/>
      <c r="C17" s="5"/>
      <c r="D17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A908-0D06-4664-83E8-5579F7E9976C}">
  <dimension ref="A1:I16"/>
  <sheetViews>
    <sheetView workbookViewId="0">
      <selection activeCell="H1" sqref="H1:H6"/>
    </sheetView>
  </sheetViews>
  <sheetFormatPr defaultRowHeight="14.4" x14ac:dyDescent="0.3"/>
  <cols>
    <col min="1" max="1" width="11.6640625" bestFit="1" customWidth="1"/>
    <col min="2" max="2" width="12" bestFit="1" customWidth="1"/>
    <col min="8" max="8" width="13.33203125" bestFit="1" customWidth="1"/>
    <col min="9" max="9" width="10.5546875" bestFit="1" customWidth="1"/>
  </cols>
  <sheetData>
    <row r="1" spans="1:9" s="2" customFormat="1" ht="13.8" customHeight="1" x14ac:dyDescent="0.3">
      <c r="A1" s="6" t="s">
        <v>30</v>
      </c>
      <c r="B1" s="6" t="s">
        <v>29</v>
      </c>
      <c r="C1" s="6" t="s">
        <v>19</v>
      </c>
      <c r="D1" s="6" t="s">
        <v>22</v>
      </c>
      <c r="E1" s="6" t="s">
        <v>26</v>
      </c>
      <c r="G1" s="2" t="s">
        <v>27</v>
      </c>
      <c r="H1" s="2" t="s">
        <v>59</v>
      </c>
      <c r="I1" s="2" t="s">
        <v>50</v>
      </c>
    </row>
    <row r="2" spans="1:9" x14ac:dyDescent="0.3">
      <c r="A2" s="5">
        <v>14</v>
      </c>
      <c r="B2" s="5">
        <f>A2/10</f>
        <v>1.4</v>
      </c>
      <c r="C2" s="5">
        <v>3465.7</v>
      </c>
      <c r="D2" s="5">
        <v>0</v>
      </c>
      <c r="E2">
        <f>D2/9.81</f>
        <v>0</v>
      </c>
      <c r="G2">
        <v>3.2</v>
      </c>
      <c r="H2" s="5">
        <v>3465.7</v>
      </c>
      <c r="I2">
        <v>262.16109999999998</v>
      </c>
    </row>
    <row r="3" spans="1:9" x14ac:dyDescent="0.3">
      <c r="A3" s="5">
        <v>8.1196000000000002</v>
      </c>
      <c r="B3" s="5">
        <f t="shared" ref="B3:B16" si="0">A3/10</f>
        <v>0.81196000000000002</v>
      </c>
      <c r="C3" s="5">
        <v>3312.4</v>
      </c>
      <c r="D3" s="5">
        <v>1236.7</v>
      </c>
      <c r="E3">
        <f t="shared" ref="E3:E16" si="1">D3/9.81</f>
        <v>126.06523955147809</v>
      </c>
      <c r="G3">
        <f>G2+0.2</f>
        <v>3.4000000000000004</v>
      </c>
      <c r="H3" s="5">
        <v>3472.3</v>
      </c>
      <c r="I3">
        <v>259.30680000000001</v>
      </c>
    </row>
    <row r="4" spans="1:9" x14ac:dyDescent="0.3">
      <c r="A4" s="5">
        <v>1.0129999999999999</v>
      </c>
      <c r="B4" s="5">
        <f t="shared" si="0"/>
        <v>0.10129999999999999</v>
      </c>
      <c r="C4" s="5">
        <v>2804.2</v>
      </c>
      <c r="D4" s="5">
        <v>2571.8000000000002</v>
      </c>
      <c r="E4">
        <f t="shared" si="1"/>
        <v>262.16106014271151</v>
      </c>
      <c r="G4">
        <f t="shared" ref="G4:G6" si="2">G3+0.2</f>
        <v>3.6000000000000005</v>
      </c>
      <c r="H4" s="5">
        <v>3472.3</v>
      </c>
      <c r="I4">
        <v>256.43220000000002</v>
      </c>
    </row>
    <row r="5" spans="1:9" x14ac:dyDescent="0.3">
      <c r="A5" s="5">
        <v>14</v>
      </c>
      <c r="B5" s="5">
        <f t="shared" si="0"/>
        <v>1.4</v>
      </c>
      <c r="C5" s="5">
        <v>3472.3</v>
      </c>
      <c r="D5" s="5">
        <v>0</v>
      </c>
      <c r="E5">
        <f t="shared" si="1"/>
        <v>0</v>
      </c>
      <c r="G5">
        <f t="shared" si="2"/>
        <v>3.8000000000000007</v>
      </c>
      <c r="H5" s="5">
        <v>3467.7</v>
      </c>
      <c r="I5">
        <v>253.6086</v>
      </c>
    </row>
    <row r="6" spans="1:9" x14ac:dyDescent="0.3">
      <c r="A6" s="5">
        <v>8.1247000000000007</v>
      </c>
      <c r="B6" s="5">
        <f t="shared" si="0"/>
        <v>0.81247000000000003</v>
      </c>
      <c r="C6" s="5">
        <v>3321.8</v>
      </c>
      <c r="D6" s="5">
        <v>1221.5</v>
      </c>
      <c r="E6">
        <f t="shared" si="1"/>
        <v>124.5158002038736</v>
      </c>
      <c r="G6">
        <f t="shared" si="2"/>
        <v>4.0000000000000009</v>
      </c>
      <c r="H6" s="5">
        <v>3459.8</v>
      </c>
      <c r="I6">
        <v>250.8869</v>
      </c>
    </row>
    <row r="7" spans="1:9" x14ac:dyDescent="0.3">
      <c r="A7" s="5">
        <v>1.0129999999999999</v>
      </c>
      <c r="B7" s="5">
        <f t="shared" si="0"/>
        <v>0.10129999999999999</v>
      </c>
      <c r="C7" s="5">
        <v>2829.5</v>
      </c>
      <c r="D7" s="5">
        <v>2543.8000000000002</v>
      </c>
      <c r="E7">
        <f t="shared" si="1"/>
        <v>259.30682976554539</v>
      </c>
    </row>
    <row r="8" spans="1:9" x14ac:dyDescent="0.3">
      <c r="A8" s="5">
        <v>14</v>
      </c>
      <c r="B8" s="5">
        <f t="shared" si="0"/>
        <v>1.4</v>
      </c>
      <c r="C8" s="5">
        <v>3472.3</v>
      </c>
      <c r="D8" s="5">
        <v>0</v>
      </c>
      <c r="E8">
        <f t="shared" si="1"/>
        <v>0</v>
      </c>
    </row>
    <row r="9" spans="1:9" x14ac:dyDescent="0.3">
      <c r="A9" s="5">
        <v>8.1280000000000001</v>
      </c>
      <c r="B9" s="5">
        <f t="shared" si="0"/>
        <v>0.81279999999999997</v>
      </c>
      <c r="C9" s="5">
        <v>3323.6</v>
      </c>
      <c r="D9" s="5">
        <v>1206.9000000000001</v>
      </c>
      <c r="E9">
        <f t="shared" si="1"/>
        <v>123.02752293577981</v>
      </c>
    </row>
    <row r="10" spans="1:9" x14ac:dyDescent="0.3">
      <c r="A10" s="5">
        <v>1.0129999999999999</v>
      </c>
      <c r="B10" s="5">
        <f t="shared" si="0"/>
        <v>0.10129999999999999</v>
      </c>
      <c r="C10" s="5">
        <v>2840.3</v>
      </c>
      <c r="D10" s="5">
        <v>2515.6</v>
      </c>
      <c r="E10">
        <f t="shared" si="1"/>
        <v>256.43221202854227</v>
      </c>
    </row>
    <row r="11" spans="1:9" x14ac:dyDescent="0.3">
      <c r="A11" s="5">
        <v>14</v>
      </c>
      <c r="B11" s="5">
        <f t="shared" si="0"/>
        <v>1.4</v>
      </c>
      <c r="C11" s="5">
        <v>3467.7</v>
      </c>
      <c r="D11" s="5">
        <v>0</v>
      </c>
      <c r="E11">
        <f t="shared" si="1"/>
        <v>0</v>
      </c>
    </row>
    <row r="12" spans="1:9" x14ac:dyDescent="0.3">
      <c r="A12" s="5">
        <v>8.1301000000000005</v>
      </c>
      <c r="B12" s="5">
        <f t="shared" si="0"/>
        <v>0.81301000000000001</v>
      </c>
      <c r="C12" s="5">
        <v>3320.3</v>
      </c>
      <c r="D12" s="5">
        <v>1193</v>
      </c>
      <c r="E12">
        <f t="shared" si="1"/>
        <v>121.61060142711518</v>
      </c>
    </row>
    <row r="13" spans="1:9" x14ac:dyDescent="0.3">
      <c r="A13" s="5">
        <v>1.0129999999999999</v>
      </c>
      <c r="B13" s="5">
        <f t="shared" si="0"/>
        <v>0.10129999999999999</v>
      </c>
      <c r="C13" s="5">
        <v>2842.1</v>
      </c>
      <c r="D13" s="5">
        <v>2487.9</v>
      </c>
      <c r="E13">
        <f t="shared" si="1"/>
        <v>253.60856269113148</v>
      </c>
    </row>
    <row r="14" spans="1:9" x14ac:dyDescent="0.3">
      <c r="A14" s="5">
        <v>14</v>
      </c>
      <c r="B14" s="5">
        <f t="shared" si="0"/>
        <v>1.4</v>
      </c>
      <c r="C14" s="5">
        <v>3459.8</v>
      </c>
      <c r="D14" s="5">
        <v>0</v>
      </c>
      <c r="E14">
        <f t="shared" si="1"/>
        <v>0</v>
      </c>
    </row>
    <row r="15" spans="1:9" x14ac:dyDescent="0.3">
      <c r="A15" s="5">
        <v>8.1316000000000006</v>
      </c>
      <c r="B15" s="5">
        <f t="shared" si="0"/>
        <v>0.8131600000000001</v>
      </c>
      <c r="C15" s="5">
        <v>3313.2</v>
      </c>
      <c r="D15" s="5">
        <v>1179.8</v>
      </c>
      <c r="E15">
        <f t="shared" si="1"/>
        <v>120.26503567787971</v>
      </c>
    </row>
    <row r="16" spans="1:9" x14ac:dyDescent="0.3">
      <c r="A16" s="5">
        <v>1.0129999999999999</v>
      </c>
      <c r="B16" s="5">
        <f t="shared" si="0"/>
        <v>0.10129999999999999</v>
      </c>
      <c r="C16" s="5">
        <v>2837.9</v>
      </c>
      <c r="D16" s="5">
        <v>2461.1999999999998</v>
      </c>
      <c r="E16">
        <f t="shared" si="1"/>
        <v>250.88685015290517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1783-82A4-44B7-8762-9D74407E62F3}">
  <dimension ref="A1:J16"/>
  <sheetViews>
    <sheetView workbookViewId="0">
      <selection activeCell="I1" sqref="I1:I6"/>
    </sheetView>
  </sheetViews>
  <sheetFormatPr defaultRowHeight="14.4" x14ac:dyDescent="0.3"/>
  <cols>
    <col min="1" max="1" width="12.109375" bestFit="1" customWidth="1"/>
    <col min="2" max="2" width="12.109375" customWidth="1"/>
    <col min="9" max="9" width="13.77734375" bestFit="1" customWidth="1"/>
    <col min="10" max="10" width="11.21875" bestFit="1" customWidth="1"/>
  </cols>
  <sheetData>
    <row r="1" spans="1:10" s="2" customFormat="1" x14ac:dyDescent="0.3">
      <c r="A1" s="6" t="s">
        <v>24</v>
      </c>
      <c r="B1" s="6" t="s">
        <v>29</v>
      </c>
      <c r="C1" s="6" t="s">
        <v>31</v>
      </c>
      <c r="D1" s="6" t="s">
        <v>32</v>
      </c>
      <c r="E1" s="6" t="s">
        <v>33</v>
      </c>
      <c r="H1" s="2" t="s">
        <v>27</v>
      </c>
      <c r="I1" s="2" t="s">
        <v>60</v>
      </c>
      <c r="J1" s="2" t="s">
        <v>49</v>
      </c>
    </row>
    <row r="2" spans="1:10" x14ac:dyDescent="0.3">
      <c r="A2" s="5">
        <v>15</v>
      </c>
      <c r="B2" s="5">
        <f>A2/10</f>
        <v>1.5</v>
      </c>
      <c r="C2" s="5">
        <v>3475.8</v>
      </c>
      <c r="D2" s="5">
        <v>0</v>
      </c>
      <c r="E2" s="5">
        <f>D2/9.81</f>
        <v>0</v>
      </c>
      <c r="H2">
        <v>3.2</v>
      </c>
      <c r="I2" s="5">
        <v>3475.8</v>
      </c>
      <c r="J2">
        <v>265.3</v>
      </c>
    </row>
    <row r="3" spans="1:10" x14ac:dyDescent="0.3">
      <c r="A3" s="5">
        <v>8.6984999999999992</v>
      </c>
      <c r="B3" s="5">
        <f t="shared" ref="B3:B16" si="0">A3/10</f>
        <v>0.8698499999999999</v>
      </c>
      <c r="C3" s="5">
        <v>3321.4</v>
      </c>
      <c r="D3" s="5">
        <v>1238</v>
      </c>
      <c r="E3" s="5">
        <f t="shared" ref="E3:E16" si="1">D3/9.81</f>
        <v>126.19775739041793</v>
      </c>
      <c r="H3">
        <f>H2+0.2</f>
        <v>3.4000000000000004</v>
      </c>
      <c r="I3" s="5">
        <v>3482.6</v>
      </c>
      <c r="J3">
        <v>262.5</v>
      </c>
    </row>
    <row r="4" spans="1:10" x14ac:dyDescent="0.3">
      <c r="A4" s="5">
        <v>1.0129999999999999</v>
      </c>
      <c r="B4" s="5">
        <f t="shared" si="0"/>
        <v>0.10129999999999999</v>
      </c>
      <c r="C4" s="5">
        <v>2794.1</v>
      </c>
      <c r="D4" s="5">
        <v>2602.9</v>
      </c>
      <c r="E4" s="5">
        <f t="shared" si="1"/>
        <v>265.33129459734965</v>
      </c>
      <c r="H4">
        <f t="shared" ref="H4:H5" si="2">H3+0.2</f>
        <v>3.6000000000000005</v>
      </c>
      <c r="I4" s="5">
        <v>3482.6</v>
      </c>
      <c r="J4">
        <v>259.60000000000002</v>
      </c>
    </row>
    <row r="5" spans="1:10" x14ac:dyDescent="0.3">
      <c r="A5" s="5">
        <v>15</v>
      </c>
      <c r="B5" s="5">
        <f t="shared" si="0"/>
        <v>1.5</v>
      </c>
      <c r="C5" s="5">
        <v>3482.6</v>
      </c>
      <c r="D5" s="5">
        <v>0</v>
      </c>
      <c r="E5" s="5">
        <f t="shared" si="1"/>
        <v>0</v>
      </c>
      <c r="H5">
        <f t="shared" si="2"/>
        <v>3.8000000000000007</v>
      </c>
      <c r="I5" s="5">
        <v>3478</v>
      </c>
      <c r="J5">
        <v>256.7</v>
      </c>
    </row>
    <row r="6" spans="1:10" x14ac:dyDescent="0.3">
      <c r="A6" s="5">
        <v>8.7040000000000006</v>
      </c>
      <c r="B6" s="5">
        <f t="shared" si="0"/>
        <v>0.87040000000000006</v>
      </c>
      <c r="C6" s="5">
        <v>3331</v>
      </c>
      <c r="D6" s="5">
        <v>1222.8</v>
      </c>
      <c r="E6" s="5">
        <f t="shared" si="1"/>
        <v>124.64831804281344</v>
      </c>
      <c r="H6">
        <f>H5+0.2</f>
        <v>4.0000000000000009</v>
      </c>
      <c r="I6" s="5">
        <v>3470</v>
      </c>
      <c r="J6">
        <v>253.9</v>
      </c>
    </row>
    <row r="7" spans="1:10" x14ac:dyDescent="0.3">
      <c r="A7" s="5">
        <v>1.0129999999999999</v>
      </c>
      <c r="B7" s="5">
        <f t="shared" si="0"/>
        <v>0.10129999999999999</v>
      </c>
      <c r="C7" s="5">
        <v>2820.7</v>
      </c>
      <c r="D7" s="5">
        <v>2574.6999999999998</v>
      </c>
      <c r="E7" s="5">
        <f t="shared" si="1"/>
        <v>262.45667686034653</v>
      </c>
    </row>
    <row r="8" spans="1:10" x14ac:dyDescent="0.3">
      <c r="A8" s="5">
        <v>15</v>
      </c>
      <c r="B8" s="5">
        <f t="shared" si="0"/>
        <v>1.5</v>
      </c>
      <c r="C8" s="5">
        <v>3482.6</v>
      </c>
      <c r="D8" s="5">
        <v>0</v>
      </c>
      <c r="E8" s="5">
        <f t="shared" si="1"/>
        <v>0</v>
      </c>
    </row>
    <row r="9" spans="1:10" x14ac:dyDescent="0.3">
      <c r="A9" s="5">
        <v>8.7075999999999993</v>
      </c>
      <c r="B9" s="5">
        <f t="shared" si="0"/>
        <v>0.87075999999999998</v>
      </c>
      <c r="C9" s="5">
        <v>3332.9</v>
      </c>
      <c r="D9" s="5">
        <v>1208.2</v>
      </c>
      <c r="E9" s="5">
        <f t="shared" si="1"/>
        <v>123.16004077471968</v>
      </c>
    </row>
    <row r="10" spans="1:10" x14ac:dyDescent="0.3">
      <c r="A10" s="5">
        <v>1.0129999999999999</v>
      </c>
      <c r="B10" s="5">
        <f t="shared" si="0"/>
        <v>0.10129999999999999</v>
      </c>
      <c r="C10" s="5">
        <v>2832.3</v>
      </c>
      <c r="D10" s="5">
        <v>2546.3000000000002</v>
      </c>
      <c r="E10" s="5">
        <f t="shared" si="1"/>
        <v>259.56167176350664</v>
      </c>
    </row>
    <row r="11" spans="1:10" x14ac:dyDescent="0.3">
      <c r="A11" s="5">
        <v>15</v>
      </c>
      <c r="B11" s="5">
        <f t="shared" si="0"/>
        <v>1.5</v>
      </c>
      <c r="C11" s="5">
        <v>3478</v>
      </c>
      <c r="D11" s="5">
        <v>0</v>
      </c>
      <c r="E11" s="5">
        <f t="shared" si="1"/>
        <v>0</v>
      </c>
    </row>
    <row r="12" spans="1:10" x14ac:dyDescent="0.3">
      <c r="A12" s="5">
        <v>8.7098999999999993</v>
      </c>
      <c r="B12" s="5">
        <f t="shared" si="0"/>
        <v>0.87098999999999993</v>
      </c>
      <c r="C12" s="5">
        <v>3329.5</v>
      </c>
      <c r="D12" s="5">
        <v>1194.3</v>
      </c>
      <c r="E12" s="5">
        <f t="shared" si="1"/>
        <v>121.74311926605503</v>
      </c>
    </row>
    <row r="13" spans="1:10" x14ac:dyDescent="0.3">
      <c r="A13" s="5">
        <v>1.0129999999999999</v>
      </c>
      <c r="B13" s="5">
        <f t="shared" si="0"/>
        <v>0.10129999999999999</v>
      </c>
      <c r="C13" s="5">
        <v>2834.4</v>
      </c>
      <c r="D13" s="5">
        <v>2518.3000000000002</v>
      </c>
      <c r="E13" s="5">
        <f t="shared" si="1"/>
        <v>256.70744138634046</v>
      </c>
    </row>
    <row r="14" spans="1:10" x14ac:dyDescent="0.3">
      <c r="A14" s="5">
        <v>15</v>
      </c>
      <c r="B14" s="5">
        <f t="shared" si="0"/>
        <v>1.5</v>
      </c>
      <c r="C14" s="5">
        <v>3470</v>
      </c>
      <c r="D14" s="5">
        <v>0</v>
      </c>
      <c r="E14" s="5">
        <f t="shared" si="1"/>
        <v>0</v>
      </c>
    </row>
    <row r="15" spans="1:10" x14ac:dyDescent="0.3">
      <c r="A15" s="5">
        <v>8.7113999999999994</v>
      </c>
      <c r="B15" s="5">
        <f t="shared" si="0"/>
        <v>0.87113999999999991</v>
      </c>
      <c r="C15" s="5">
        <v>3322.4</v>
      </c>
      <c r="D15" s="5">
        <v>1181</v>
      </c>
      <c r="E15" s="5">
        <f t="shared" si="1"/>
        <v>120.38735983690111</v>
      </c>
    </row>
    <row r="16" spans="1:10" x14ac:dyDescent="0.3">
      <c r="A16" s="5">
        <v>1.0129999999999999</v>
      </c>
      <c r="B16" s="5">
        <f t="shared" si="0"/>
        <v>0.10129999999999999</v>
      </c>
      <c r="C16" s="5">
        <v>2830.2</v>
      </c>
      <c r="D16" s="5">
        <v>2491.1999999999998</v>
      </c>
      <c r="E16" s="5">
        <f t="shared" si="1"/>
        <v>253.94495412844034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BCE0-95F6-4DC1-A3A0-3AE2F8F4B0CE}">
  <dimension ref="A1:G15"/>
  <sheetViews>
    <sheetView topLeftCell="D6" workbookViewId="0">
      <selection activeCell="Q17" sqref="Q17"/>
    </sheetView>
  </sheetViews>
  <sheetFormatPr defaultRowHeight="14.4" x14ac:dyDescent="0.3"/>
  <cols>
    <col min="2" max="2" width="9" bestFit="1" customWidth="1"/>
    <col min="3" max="3" width="9" customWidth="1"/>
    <col min="4" max="6" width="10.5546875" bestFit="1" customWidth="1"/>
    <col min="7" max="7" width="11.21875" bestFit="1" customWidth="1"/>
  </cols>
  <sheetData>
    <row r="1" spans="1:7" x14ac:dyDescent="0.3">
      <c r="A1" s="2" t="s">
        <v>27</v>
      </c>
      <c r="B1" s="6" t="s">
        <v>54</v>
      </c>
      <c r="C1" s="2" t="s">
        <v>53</v>
      </c>
      <c r="D1" s="2" t="s">
        <v>52</v>
      </c>
      <c r="E1" s="2" t="s">
        <v>51</v>
      </c>
      <c r="F1" s="2" t="s">
        <v>50</v>
      </c>
      <c r="G1" s="2" t="s">
        <v>49</v>
      </c>
    </row>
    <row r="2" spans="1:7" x14ac:dyDescent="0.3">
      <c r="A2" s="5">
        <v>3.2</v>
      </c>
      <c r="B2" s="5">
        <v>243.8716</v>
      </c>
      <c r="C2" s="5">
        <v>250.63200000000001</v>
      </c>
      <c r="D2" s="5">
        <v>254.87260000000001</v>
      </c>
      <c r="E2" s="5">
        <v>258.685</v>
      </c>
      <c r="F2" s="5">
        <v>262.16109999999998</v>
      </c>
      <c r="G2" s="5">
        <v>265.3</v>
      </c>
    </row>
    <row r="3" spans="1:7" x14ac:dyDescent="0.3">
      <c r="A3" s="5">
        <f>A2+0.2</f>
        <v>3.4000000000000004</v>
      </c>
      <c r="B3" s="5">
        <v>243.12950000000001</v>
      </c>
      <c r="C3" s="5">
        <v>247.84909999999999</v>
      </c>
      <c r="D3" s="5">
        <v>252.0591</v>
      </c>
      <c r="E3" s="5">
        <v>255.85120000000001</v>
      </c>
      <c r="F3" s="5">
        <v>259.30680000000001</v>
      </c>
      <c r="G3" s="5">
        <v>262.5</v>
      </c>
    </row>
    <row r="4" spans="1:7" x14ac:dyDescent="0.3">
      <c r="A4" s="5">
        <f t="shared" ref="A4:A5" si="0">A3+0.2</f>
        <v>3.6000000000000005</v>
      </c>
      <c r="B4" s="5">
        <v>240.39760000000001</v>
      </c>
      <c r="C4" s="5">
        <v>245.07650000000001</v>
      </c>
      <c r="D4" s="5">
        <v>249.2457</v>
      </c>
      <c r="E4" s="5">
        <v>253.00710000000001</v>
      </c>
      <c r="F4" s="5">
        <v>256.43220000000002</v>
      </c>
      <c r="G4" s="5">
        <v>259.60000000000002</v>
      </c>
    </row>
    <row r="5" spans="1:7" x14ac:dyDescent="0.3">
      <c r="A5" s="5">
        <f t="shared" si="0"/>
        <v>3.8000000000000007</v>
      </c>
      <c r="B5" s="5">
        <v>237.74719999999999</v>
      </c>
      <c r="C5" s="5">
        <v>242.3751</v>
      </c>
      <c r="D5" s="5">
        <v>246.50360000000001</v>
      </c>
      <c r="E5" s="5">
        <v>250.2243</v>
      </c>
      <c r="F5" s="5">
        <v>253.6086</v>
      </c>
      <c r="G5" s="5">
        <v>256.7</v>
      </c>
    </row>
    <row r="6" spans="1:7" x14ac:dyDescent="0.3">
      <c r="A6" s="5">
        <f>A5+0.2</f>
        <v>4.0000000000000009</v>
      </c>
      <c r="B6" s="5">
        <v>235.17840000000001</v>
      </c>
      <c r="C6" s="5">
        <v>239.75540000000001</v>
      </c>
      <c r="D6" s="5">
        <v>243.84299999999999</v>
      </c>
      <c r="E6" s="5">
        <v>247.53309999999999</v>
      </c>
      <c r="F6" s="5">
        <v>250.8869</v>
      </c>
      <c r="G6" s="5">
        <v>253.9</v>
      </c>
    </row>
    <row r="8" spans="1:7" x14ac:dyDescent="0.3">
      <c r="A8" s="5"/>
    </row>
    <row r="9" spans="1:7" x14ac:dyDescent="0.3">
      <c r="A9" s="5"/>
    </row>
    <row r="11" spans="1:7" x14ac:dyDescent="0.3">
      <c r="A11" s="5"/>
    </row>
    <row r="12" spans="1:7" x14ac:dyDescent="0.3">
      <c r="A12" s="5"/>
    </row>
    <row r="14" spans="1:7" x14ac:dyDescent="0.3">
      <c r="A14" s="5"/>
    </row>
    <row r="15" spans="1:7" x14ac:dyDescent="0.3">
      <c r="A15" s="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070F-AECD-41F1-A0B7-0CA946010510}">
  <dimension ref="A1:G6"/>
  <sheetViews>
    <sheetView tabSelected="1" topLeftCell="A19" zoomScale="63" workbookViewId="0">
      <selection activeCell="Y24" sqref="Y24:AM24"/>
    </sheetView>
  </sheetViews>
  <sheetFormatPr defaultRowHeight="14.4" x14ac:dyDescent="0.3"/>
  <cols>
    <col min="2" max="2" width="12" bestFit="1" customWidth="1"/>
    <col min="3" max="3" width="13.33203125" bestFit="1" customWidth="1"/>
    <col min="4" max="4" width="13.44140625" bestFit="1" customWidth="1"/>
    <col min="5" max="6" width="13.33203125" bestFit="1" customWidth="1"/>
    <col min="7" max="7" width="13.77734375" bestFit="1" customWidth="1"/>
  </cols>
  <sheetData>
    <row r="1" spans="1:7" x14ac:dyDescent="0.3">
      <c r="A1" s="6" t="s">
        <v>18</v>
      </c>
      <c r="B1" s="6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x14ac:dyDescent="0.3">
      <c r="A2">
        <v>3.2</v>
      </c>
      <c r="B2" s="5">
        <v>3416.7</v>
      </c>
      <c r="C2" s="5">
        <v>3430.5</v>
      </c>
      <c r="D2" s="5">
        <v>3443.2</v>
      </c>
      <c r="E2" s="5">
        <v>3454.9</v>
      </c>
      <c r="F2" s="5">
        <v>3465.7</v>
      </c>
      <c r="G2" s="5">
        <v>3475.8</v>
      </c>
    </row>
    <row r="3" spans="1:7" x14ac:dyDescent="0.3">
      <c r="A3">
        <f>A2+0.2</f>
        <v>3.4000000000000004</v>
      </c>
      <c r="B3" s="5">
        <v>3422.7</v>
      </c>
      <c r="C3" s="5">
        <v>3436.7</v>
      </c>
      <c r="D3" s="5">
        <v>3449.5</v>
      </c>
      <c r="E3" s="5">
        <v>3461.3</v>
      </c>
      <c r="F3" s="5">
        <v>3472.3</v>
      </c>
      <c r="G3" s="5">
        <v>3482.6</v>
      </c>
    </row>
    <row r="4" spans="1:7" x14ac:dyDescent="0.3">
      <c r="A4">
        <f t="shared" ref="A4:A6" si="0">A3+0.2</f>
        <v>3.6000000000000005</v>
      </c>
      <c r="B4" s="5">
        <v>3422.5</v>
      </c>
      <c r="C4" s="5">
        <v>3436.5</v>
      </c>
      <c r="D4" s="5">
        <v>3449.4</v>
      </c>
      <c r="E4" s="5">
        <v>3461.3</v>
      </c>
      <c r="F4" s="5">
        <v>3472.3</v>
      </c>
      <c r="G4" s="5">
        <v>3482.6</v>
      </c>
    </row>
    <row r="5" spans="1:7" x14ac:dyDescent="0.3">
      <c r="A5">
        <f t="shared" si="0"/>
        <v>3.8000000000000007</v>
      </c>
      <c r="B5" s="5">
        <v>3418</v>
      </c>
      <c r="C5" s="5">
        <v>3432</v>
      </c>
      <c r="D5" s="5">
        <v>3444.9</v>
      </c>
      <c r="E5" s="5">
        <v>3456.7</v>
      </c>
      <c r="F5" s="5">
        <v>3467.7</v>
      </c>
      <c r="G5" s="5">
        <v>3478</v>
      </c>
    </row>
    <row r="6" spans="1:7" x14ac:dyDescent="0.3">
      <c r="A6">
        <f t="shared" si="0"/>
        <v>4.0000000000000009</v>
      </c>
      <c r="B6" s="5">
        <v>3410.4</v>
      </c>
      <c r="C6" s="5">
        <v>3424.3</v>
      </c>
      <c r="D6" s="5">
        <v>3437.1</v>
      </c>
      <c r="E6" s="5">
        <v>3448.9</v>
      </c>
      <c r="F6" s="5">
        <v>3459.8</v>
      </c>
      <c r="G6" s="5">
        <v>3470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3FBC-88DC-4493-9CD4-63A6C86E43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Stoichiometric Pc vs Tc</vt:lpstr>
      <vt:lpstr>Prop Analysis</vt:lpstr>
      <vt:lpstr>Pc 1 MPa</vt:lpstr>
      <vt:lpstr>Pc 1.1 MPa</vt:lpstr>
      <vt:lpstr>Pc 1.2 MPa</vt:lpstr>
      <vt:lpstr>Pc 1.3 MPa</vt:lpstr>
      <vt:lpstr>Pc 1.4 MPa</vt:lpstr>
      <vt:lpstr>Pc 1.5 MPa</vt:lpstr>
      <vt:lpstr>OF vs Isp</vt:lpstr>
      <vt:lpstr>OF vs Tc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2026-01-02T14:49:27Z</dcterms:created>
  <dcterms:modified xsi:type="dcterms:W3CDTF">2026-01-27T13:58:29Z</dcterms:modified>
</cp:coreProperties>
</file>